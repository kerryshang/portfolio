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kerryshang/Desktop/"/>
    </mc:Choice>
  </mc:AlternateContent>
  <xr:revisionPtr revIDLastSave="0" documentId="8_{BA928866-A7B5-0D42-9F51-004B18688046}" xr6:coauthVersionLast="47" xr6:coauthVersionMax="47" xr10:uidLastSave="{00000000-0000-0000-0000-000000000000}"/>
  <bookViews>
    <workbookView xWindow="0" yWindow="520" windowWidth="28800" windowHeight="15760" activeTab="4" xr2:uid="{88E9AEB7-3A88-449B-8EF4-DF3B40535859}"/>
  </bookViews>
  <sheets>
    <sheet name="Campaign Level" sheetId="2" r:id="rId1"/>
    <sheet name="Ad Group Level" sheetId="5" r:id="rId2"/>
    <sheet name="Keyword Level" sheetId="7" r:id="rId3"/>
    <sheet name="Sheet7" sheetId="19" state="hidden" r:id="rId4"/>
    <sheet name="Demographic" sheetId="11" r:id="rId5"/>
    <sheet name="Sheet1" sheetId="6" state="hidden" r:id="rId6"/>
    <sheet name="Raw" sheetId="1" state="hidden" r:id="rId7"/>
  </sheets>
  <calcPr calcId="191029"/>
  <pivotCaches>
    <pivotCache cacheId="3" r:id="rId8"/>
    <pivotCache cacheId="4" r:id="rId9"/>
    <pivotCache cacheId="6" r:id="rId10"/>
    <pivotCache cacheId="15" r:id="rId11"/>
    <pivotCache cacheId="31" r:id="rId12"/>
    <pivotCache cacheId="41" r:id="rId13"/>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 i="1" l="1"/>
  <c r="P27" i="1"/>
  <c r="P31" i="1"/>
  <c r="P21" i="1"/>
  <c r="P20" i="1"/>
  <c r="P29" i="1"/>
  <c r="P17" i="1"/>
  <c r="P28" i="1"/>
  <c r="P24" i="1"/>
  <c r="P7" i="1"/>
  <c r="P18" i="1"/>
  <c r="P10" i="1"/>
  <c r="P19" i="1"/>
  <c r="P23" i="1"/>
  <c r="P13" i="1"/>
  <c r="P16" i="1"/>
  <c r="P14" i="1"/>
  <c r="P4" i="1"/>
  <c r="P11" i="1"/>
  <c r="P5" i="1"/>
  <c r="P8" i="1"/>
  <c r="P26" i="1"/>
  <c r="P9" i="1"/>
  <c r="P6" i="1"/>
  <c r="P30" i="1"/>
  <c r="P22" i="1"/>
  <c r="P12" i="1"/>
  <c r="P15" i="1"/>
  <c r="H34" i="2"/>
  <c r="H33" i="2"/>
  <c r="H32" i="2"/>
  <c r="H31" i="2"/>
  <c r="H30" i="2"/>
  <c r="H29" i="2"/>
  <c r="H28" i="2"/>
  <c r="G34" i="2"/>
  <c r="G33" i="2"/>
  <c r="G32" i="2"/>
  <c r="G31" i="2"/>
  <c r="G30" i="2"/>
  <c r="G29" i="2"/>
  <c r="G28" i="2"/>
  <c r="F34" i="2"/>
  <c r="F33" i="2"/>
  <c r="F32" i="2"/>
  <c r="F31" i="2"/>
  <c r="F30" i="2"/>
  <c r="F29" i="2"/>
  <c r="F28" i="2"/>
</calcChain>
</file>

<file path=xl/sharedStrings.xml><?xml version="1.0" encoding="utf-8"?>
<sst xmlns="http://schemas.openxmlformats.org/spreadsheetml/2006/main" count="7757" uniqueCount="555">
  <si>
    <t>Network (with search partners)</t>
  </si>
  <si>
    <t>Click type</t>
  </si>
  <si>
    <t>Device</t>
  </si>
  <si>
    <t>Campaign status</t>
  </si>
  <si>
    <t>Campaign</t>
  </si>
  <si>
    <t>Budget</t>
  </si>
  <si>
    <t>Campaign type</t>
  </si>
  <si>
    <t>Clicks</t>
  </si>
  <si>
    <t>Impr.</t>
  </si>
  <si>
    <t>CTR</t>
  </si>
  <si>
    <t>Currency code</t>
  </si>
  <si>
    <t>Cost</t>
  </si>
  <si>
    <t>Conversions</t>
  </si>
  <si>
    <t>Cost / conv.</t>
  </si>
  <si>
    <t>Conv. rate</t>
  </si>
  <si>
    <t>Google Search</t>
  </si>
  <si>
    <t>Sitelink</t>
  </si>
  <si>
    <t>Tablets</t>
  </si>
  <si>
    <t>Paused</t>
  </si>
  <si>
    <t>FY23_Brave_ISA_DA Program_National_Generic</t>
  </si>
  <si>
    <t>Search</t>
  </si>
  <si>
    <t>CAD</t>
  </si>
  <si>
    <t>Search partners</t>
  </si>
  <si>
    <t>Headline</t>
  </si>
  <si>
    <t>FY24_Brave_ISA_DE Program_National_Generic</t>
  </si>
  <si>
    <t>FY23_Brave_ISA_DA Program_National_Generic  Trial 836</t>
  </si>
  <si>
    <t>Image</t>
  </si>
  <si>
    <t>Computers</t>
  </si>
  <si>
    <t>Mobile phones</t>
  </si>
  <si>
    <t>Sum of Clicks</t>
  </si>
  <si>
    <t>Sum of Impr.</t>
  </si>
  <si>
    <t>Sum of Conversions</t>
  </si>
  <si>
    <t>Sum of Cost</t>
  </si>
  <si>
    <t>Grand Total</t>
  </si>
  <si>
    <t>Row Labels</t>
  </si>
  <si>
    <t>Avg.CPC</t>
    <phoneticPr fontId="18" type="noConversion"/>
  </si>
  <si>
    <t>Avg. CPC</t>
  </si>
  <si>
    <t>Conv. Rate</t>
  </si>
  <si>
    <t>Cost / Conv. (CPA)</t>
  </si>
  <si>
    <t>Campaign Overall Performance</t>
  </si>
  <si>
    <t>Channel Breakdown</t>
  </si>
  <si>
    <t>CVR</t>
    <phoneticPr fontId="18" type="noConversion"/>
  </si>
  <si>
    <t>CVR (%)</t>
  </si>
  <si>
    <t>$0.00 (N/A)</t>
  </si>
  <si>
    <t>CTR (%)</t>
    <phoneticPr fontId="18" type="noConversion"/>
  </si>
  <si>
    <t>CPA ($)</t>
    <phoneticPr fontId="18" type="noConversion"/>
  </si>
  <si>
    <t>Device Type breakdown:</t>
  </si>
  <si>
    <t>Ad group status</t>
  </si>
  <si>
    <t>Ad group</t>
  </si>
  <si>
    <t>Status</t>
  </si>
  <si>
    <t>Ad group type</t>
  </si>
  <si>
    <t>Near me(location)</t>
  </si>
  <si>
    <t>Standard</t>
  </si>
  <si>
    <t>Enabled</t>
  </si>
  <si>
    <t>Training</t>
  </si>
  <si>
    <t>Not eligible</t>
  </si>
  <si>
    <t>Job Guarantee</t>
  </si>
  <si>
    <t>BA Bootcamp</t>
  </si>
  <si>
    <t>DA Bootcamp</t>
  </si>
  <si>
    <t>Campaign</t>
    <phoneticPr fontId="18" type="noConversion"/>
  </si>
  <si>
    <t>Bootcamp</t>
  </si>
  <si>
    <t>Mentorship</t>
  </si>
  <si>
    <t>Career</t>
  </si>
  <si>
    <t>FY23_Brave_ISA_DA Program_National_Generic Trial 836 </t>
  </si>
  <si>
    <t>FY24_Brave_ISA_DE Program_National_Generic</t>
    <phoneticPr fontId="18" type="noConversion"/>
  </si>
  <si>
    <t>True CPA</t>
  </si>
  <si>
    <t>CPC</t>
    <phoneticPr fontId="18" type="noConversion"/>
  </si>
  <si>
    <t>True CTR</t>
  </si>
  <si>
    <t>Keyword status</t>
  </si>
  <si>
    <t>Keyword</t>
  </si>
  <si>
    <t>Match type</t>
  </si>
  <si>
    <t>Status reasons</t>
  </si>
  <si>
    <t>Quality Score (hist.)</t>
  </si>
  <si>
    <t>FY23_Brave_ISA_DA Program_National_Generic</t>
    <phoneticPr fontId="18" type="noConversion"/>
  </si>
  <si>
    <t>the data analyst course complete data analyst bootcamp 2023 course</t>
  </si>
  <si>
    <t>Broad match</t>
  </si>
  <si>
    <t>rarely served; ad group paused; campaign paused</t>
  </si>
  <si>
    <t xml:space="preserve"> --</t>
  </si>
  <si>
    <t>"python and tableau the complete data analytics bootcamp"</t>
  </si>
  <si>
    <t>Phrase match</t>
  </si>
  <si>
    <t>ad group paused; campaign paused</t>
  </si>
  <si>
    <t>[data analytics mentorship]</t>
  </si>
  <si>
    <t>Exact match</t>
  </si>
  <si>
    <t>best bootcamp for data analyst</t>
  </si>
  <si>
    <t>"best data analytics bootcamp 2023"</t>
  </si>
  <si>
    <t>[data analyst mentorship]</t>
  </si>
  <si>
    <t>online data analyst bootcamp</t>
  </si>
  <si>
    <t>"data analyst mentorship"</t>
  </si>
  <si>
    <t>data analyst online bootcamp</t>
  </si>
  <si>
    <t>[best tableau bootcamp]</t>
  </si>
  <si>
    <t>best tableau bootcamp</t>
  </si>
  <si>
    <t>[data analytics bootcamp for beginners]</t>
  </si>
  <si>
    <t>data analytics bootcamp</t>
  </si>
  <si>
    <t>the data analyst course complete data analyst bootcamp 2023</t>
  </si>
  <si>
    <t>[data analysis bootcamps]</t>
  </si>
  <si>
    <t>paused; ad group paused; campaign paused</t>
  </si>
  <si>
    <t>data analytics mentorship</t>
  </si>
  <si>
    <t>"the data analyst course complete data analyst bootcamp 2023"</t>
  </si>
  <si>
    <t>data analyst bootcamp</t>
  </si>
  <si>
    <t>[online data analyst bootcamp]</t>
  </si>
  <si>
    <t>[best bootcamp for data analytics]</t>
  </si>
  <si>
    <t>data analysis bootcamps</t>
  </si>
  <si>
    <t>[best bootcamp for data analyst]</t>
  </si>
  <si>
    <t>"data analytics bootcamp for beginners"</t>
  </si>
  <si>
    <t>python and tableau the complete data analytics bootcamp</t>
  </si>
  <si>
    <t>best data analytics bootcamps 2023</t>
  </si>
  <si>
    <t>[the data analyst course complete data analyst bootcamp 2023 course]</t>
  </si>
  <si>
    <t>"data analysis bootcamps"</t>
  </si>
  <si>
    <t>"data analytics mentorship"</t>
  </si>
  <si>
    <t>"online data analyst bootcamp"</t>
  </si>
  <si>
    <t>[best data analytics bootcamps 2023]</t>
  </si>
  <si>
    <t>data analytics bootcamp for beginners</t>
  </si>
  <si>
    <t>[data analyst online bootcamp]</t>
  </si>
  <si>
    <t>best data analytics bootcamp 2023</t>
  </si>
  <si>
    <t>"best bootcamp for data analyst"</t>
  </si>
  <si>
    <t>"data analyst bootcamp"</t>
  </si>
  <si>
    <t>data analyst mentorship</t>
  </si>
  <si>
    <t>"skills bootcamp data analyst"</t>
  </si>
  <si>
    <t>"best tableau bootcamp"</t>
  </si>
  <si>
    <t>[data analytics bootcamp]</t>
  </si>
  <si>
    <t>"best bootcamp for data analytics"</t>
  </si>
  <si>
    <t>skills bootcamp data analyst</t>
  </si>
  <si>
    <t>"data analytics bootcamp"</t>
  </si>
  <si>
    <t>[skills bootcamp data analyst]</t>
  </si>
  <si>
    <t>[data analyst bootcamp]</t>
  </si>
  <si>
    <t>[python and tableau the complete data analytics bootcamp]</t>
  </si>
  <si>
    <t>best bootcamp for data analytics</t>
  </si>
  <si>
    <t>best data analytics bootcamp</t>
  </si>
  <si>
    <t>"data analyst online bootcamp"</t>
  </si>
  <si>
    <t>best big data training</t>
  </si>
  <si>
    <t>campaign paused</t>
  </si>
  <si>
    <t>product analytics training</t>
  </si>
  <si>
    <t>google data analytics instructors</t>
  </si>
  <si>
    <t>learn data analysis online</t>
  </si>
  <si>
    <t>[analytics training]</t>
  </si>
  <si>
    <t>big data training online</t>
  </si>
  <si>
    <t>best website to learn big data</t>
  </si>
  <si>
    <t>business analytics online training</t>
  </si>
  <si>
    <t>learning tableau 2022</t>
  </si>
  <si>
    <t>big data training and placement</t>
  </si>
  <si>
    <t>data analyst training online</t>
  </si>
  <si>
    <t>business intelligence manager training</t>
  </si>
  <si>
    <t>best site to learn big data</t>
  </si>
  <si>
    <t>low quality; campaign paused</t>
  </si>
  <si>
    <t>business analyst training with placement</t>
  </si>
  <si>
    <t>learn data analysis with python</t>
  </si>
  <si>
    <t>healthcare data analytics training</t>
  </si>
  <si>
    <t>business intelligence software training</t>
  </si>
  <si>
    <t>bi analyst training</t>
  </si>
  <si>
    <t>learn big data online</t>
  </si>
  <si>
    <t>business analysis with excel</t>
  </si>
  <si>
    <t>learn big data analytics</t>
  </si>
  <si>
    <t>data security analyst training</t>
  </si>
  <si>
    <t>paused; campaign paused</t>
  </si>
  <si>
    <t>business analytics training online</t>
  </si>
  <si>
    <t>social media analytics training</t>
  </si>
  <si>
    <t>data analytics coaching near me</t>
  </si>
  <si>
    <t>learn data analytics online</t>
  </si>
  <si>
    <t>comptia data analysis</t>
  </si>
  <si>
    <t>sql training for data analyst</t>
  </si>
  <si>
    <t>"entry level data analyst training"</t>
  </si>
  <si>
    <t>data and analytics training</t>
  </si>
  <si>
    <t>data analytics coaching</t>
  </si>
  <si>
    <t>[data analyst online training]</t>
  </si>
  <si>
    <t>comptia data analyst</t>
  </si>
  <si>
    <t>health data analyst training</t>
  </si>
  <si>
    <t>big data e learning</t>
  </si>
  <si>
    <t>[business data analyst training]</t>
  </si>
  <si>
    <t>best data analyst training</t>
  </si>
  <si>
    <t>python data analysis training</t>
  </si>
  <si>
    <t>data analyst linkedin learning</t>
  </si>
  <si>
    <t>business analytics with excel simplilearn</t>
  </si>
  <si>
    <t>data analyst training and placement near me</t>
  </si>
  <si>
    <t>digital analytics training</t>
  </si>
  <si>
    <t>[data analytics online training]</t>
  </si>
  <si>
    <t>best big data training online</t>
  </si>
  <si>
    <t>business intelligence and analytics training</t>
  </si>
  <si>
    <t>analytics training</t>
  </si>
  <si>
    <t>healthcare analyst training</t>
  </si>
  <si>
    <t>"database analyst training"</t>
  </si>
  <si>
    <t>business intelligence analyst training</t>
  </si>
  <si>
    <t>data analysis training for beginners</t>
  </si>
  <si>
    <t>medical data analyst training</t>
  </si>
  <si>
    <t>ba training near me</t>
  </si>
  <si>
    <t>data analyst coaching</t>
  </si>
  <si>
    <t>"analytical training institute"</t>
  </si>
  <si>
    <t>google data training</t>
  </si>
  <si>
    <t>data analysis training program</t>
  </si>
  <si>
    <t>big data corporate training</t>
  </si>
  <si>
    <t>sql analyst training</t>
  </si>
  <si>
    <t>junior data analyst training</t>
  </si>
  <si>
    <t>data analyst online training</t>
  </si>
  <si>
    <t>"business analytics training online"</t>
  </si>
  <si>
    <t>analytics translator training</t>
  </si>
  <si>
    <t>data analytics training and placement</t>
  </si>
  <si>
    <t>workforce analytics training</t>
  </si>
  <si>
    <t>business intelligence analysis training</t>
  </si>
  <si>
    <t>data analytics &amp; business intelligence digiskills</t>
  </si>
  <si>
    <t>[business analytics training online]</t>
  </si>
  <si>
    <t>data analysis online training</t>
  </si>
  <si>
    <t>data analysis training near me</t>
  </si>
  <si>
    <t>data analytics using excel great learning</t>
  </si>
  <si>
    <t>data analytics online training</t>
  </si>
  <si>
    <t>marketing analytics training</t>
  </si>
  <si>
    <t>[data analysis of training and development]</t>
  </si>
  <si>
    <t>"data analyst online training"</t>
  </si>
  <si>
    <t>oracle analytics training</t>
  </si>
  <si>
    <t>business analytics great learning</t>
  </si>
  <si>
    <t>skillshare data visualization</t>
  </si>
  <si>
    <t>"business data analyst training"</t>
  </si>
  <si>
    <t>data analyst kursus</t>
  </si>
  <si>
    <t>data analytics training for beginners</t>
  </si>
  <si>
    <t>data analysis training and placement</t>
  </si>
  <si>
    <t>digiskills data analytics and business intelligence</t>
  </si>
  <si>
    <t>data analyst e learning</t>
  </si>
  <si>
    <t>data analytics and learning</t>
  </si>
  <si>
    <t>certified analytics professional training</t>
  </si>
  <si>
    <t>sas visual analytics training</t>
  </si>
  <si>
    <t>data analytics and training</t>
  </si>
  <si>
    <t>data analytics and business intelligence digiskills</t>
  </si>
  <si>
    <t>healthcare analytics training</t>
  </si>
  <si>
    <t>data analyst training and placement</t>
  </si>
  <si>
    <t>data analysis industry training program</t>
  </si>
  <si>
    <t>big data training near me</t>
  </si>
  <si>
    <t>business analytics training</t>
  </si>
  <si>
    <t>"analytics training"</t>
  </si>
  <si>
    <t>big data analytics training and placement</t>
  </si>
  <si>
    <t>microsoft power bi data analyst training</t>
  </si>
  <si>
    <t>data quality analyst training</t>
  </si>
  <si>
    <t>"data analytics bootcamp job guarantee"</t>
  </si>
  <si>
    <t>[data analyst bootcamp job guarantee]</t>
  </si>
  <si>
    <t>data analyst bootcamp job guarantee</t>
  </si>
  <si>
    <t>"data analytics bootcamp with job guarantee"</t>
  </si>
  <si>
    <t>data analytics bootcamp with job guarantee</t>
  </si>
  <si>
    <t>data analytics bootcamp job guarantee</t>
  </si>
  <si>
    <t>"data analyst bootcamp job guarantee"</t>
  </si>
  <si>
    <t>[data analytics bootcamp job guarantee]</t>
  </si>
  <si>
    <t>[data analytics bootcamp with job guarantee]</t>
  </si>
  <si>
    <t>data analyst training program</t>
  </si>
  <si>
    <t>business intelligence analyst training online</t>
  </si>
  <si>
    <t>data analytics great learning</t>
  </si>
  <si>
    <t>financial analytics training</t>
  </si>
  <si>
    <t>big data scientist training</t>
  </si>
  <si>
    <t>paid data analyst training</t>
  </si>
  <si>
    <t>power bi service training</t>
  </si>
  <si>
    <t>e learning data analyst</t>
  </si>
  <si>
    <t>learn tableau for data analysis</t>
  </si>
  <si>
    <t>"data analytics online training"</t>
  </si>
  <si>
    <t>data analyst learn online</t>
  </si>
  <si>
    <t>google training data analyst</t>
  </si>
  <si>
    <t>"learning and development data analytics"</t>
  </si>
  <si>
    <t>e learning and data analytics lab</t>
  </si>
  <si>
    <t>healthcare data analyst training</t>
  </si>
  <si>
    <t>data collection training</t>
  </si>
  <si>
    <t>clinical data analyst training</t>
  </si>
  <si>
    <t>[database analyst training]</t>
  </si>
  <si>
    <t>data analysis coaching</t>
  </si>
  <si>
    <t>data analytics training for auditors</t>
  </si>
  <si>
    <t>data analyst great learning</t>
  </si>
  <si>
    <t>[statistical analysis training]</t>
  </si>
  <si>
    <t>sql training for business analysts</t>
  </si>
  <si>
    <t>google training data analytics</t>
  </si>
  <si>
    <t>data analytics training program</t>
  </si>
  <si>
    <t>learn business analytics online</t>
  </si>
  <si>
    <t>google data analytics training</t>
  </si>
  <si>
    <t>planning analytics training</t>
  </si>
  <si>
    <t>"data analyst coaching"</t>
  </si>
  <si>
    <t>data analytics in training and development</t>
  </si>
  <si>
    <t>best business analytics training</t>
  </si>
  <si>
    <t>data analyst training near me</t>
  </si>
  <si>
    <t>data analytics training near me</t>
  </si>
  <si>
    <t>analytical training institute</t>
  </si>
  <si>
    <t>insight analyst training</t>
  </si>
  <si>
    <t>[analytical training institute]</t>
  </si>
  <si>
    <t>[data analyst coaching]</t>
  </si>
  <si>
    <t>big data analytics training</t>
  </si>
  <si>
    <t>online analytics training</t>
  </si>
  <si>
    <t>entry level data analyst training</t>
  </si>
  <si>
    <t>retail analytics training</t>
  </si>
  <si>
    <t>big data hands on training</t>
  </si>
  <si>
    <t>hr analytics training program</t>
  </si>
  <si>
    <t>data analytics linkedin learning</t>
  </si>
  <si>
    <t>data analysis of online learning</t>
  </si>
  <si>
    <t>learn data analyst</t>
  </si>
  <si>
    <t>excel in business analytics</t>
  </si>
  <si>
    <t>best site to learn data analysis</t>
  </si>
  <si>
    <t>data analytics digiskills</t>
  </si>
  <si>
    <t>tableau certified data analyst training</t>
  </si>
  <si>
    <t>[business analytics training]</t>
  </si>
  <si>
    <t>big data learning</t>
  </si>
  <si>
    <t>[learning and development data analytics]</t>
  </si>
  <si>
    <t>healthcare data analysis training</t>
  </si>
  <si>
    <t>big data analytics online training</t>
  </si>
  <si>
    <t>learn ms excel for data analysis</t>
  </si>
  <si>
    <t>data analytics professional</t>
  </si>
  <si>
    <t>linkedin learning data analyst</t>
  </si>
  <si>
    <t>analytics in learning and development</t>
  </si>
  <si>
    <t>"business analytics training"</t>
  </si>
  <si>
    <t>e learning data analysis</t>
  </si>
  <si>
    <t>people analytics training</t>
  </si>
  <si>
    <t>business intelligence and data analytics training</t>
  </si>
  <si>
    <t>analytics training programs</t>
  </si>
  <si>
    <t>hr data analytics training</t>
  </si>
  <si>
    <t>learn business analytics</t>
  </si>
  <si>
    <t>big data training</t>
  </si>
  <si>
    <t>[entry level data analyst training]</t>
  </si>
  <si>
    <t>data analytics learning</t>
  </si>
  <si>
    <t>big data and analytics training</t>
  </si>
  <si>
    <t>data insights training</t>
  </si>
  <si>
    <t>advanced tableau training</t>
  </si>
  <si>
    <t>data analyst learning</t>
  </si>
  <si>
    <t>learning and development data analytics</t>
  </si>
  <si>
    <t>google analytics online training</t>
  </si>
  <si>
    <t>big data analytics training program</t>
  </si>
  <si>
    <t>data analysis of training and development</t>
  </si>
  <si>
    <t>trainity data analytics</t>
  </si>
  <si>
    <t>data analyst and training grow with google</t>
  </si>
  <si>
    <t>learn einstein analytics salesforce</t>
  </si>
  <si>
    <t>data analyst training for beginners</t>
  </si>
  <si>
    <t>best data analytics training</t>
  </si>
  <si>
    <t>data analyst coaching near me</t>
  </si>
  <si>
    <t>best way to learn python for data analysis</t>
  </si>
  <si>
    <t>"statistical analysis training"</t>
  </si>
  <si>
    <t>data analyst trainee</t>
  </si>
  <si>
    <t>business analytics training near me</t>
  </si>
  <si>
    <t>data analytics training</t>
  </si>
  <si>
    <t>big data developer training</t>
  </si>
  <si>
    <t>[paid data analyst training]</t>
  </si>
  <si>
    <t>business data analyst training</t>
  </si>
  <si>
    <t>data analytics in learning and development</t>
  </si>
  <si>
    <t>analytics coaching</t>
  </si>
  <si>
    <t>"data analysis of training and development"</t>
  </si>
  <si>
    <t>analytics learning</t>
  </si>
  <si>
    <t>data analysis using python</t>
  </si>
  <si>
    <t>statistical analysis training</t>
  </si>
  <si>
    <t>big data analytics in e learning</t>
  </si>
  <si>
    <t>[data analyst coaching near me]</t>
  </si>
  <si>
    <t>[data analyst bootcamp near me]</t>
  </si>
  <si>
    <t>"data analysis training near me"</t>
  </si>
  <si>
    <t>"data analyst bootcamp near me"</t>
  </si>
  <si>
    <t>"data analyst coaching near me"</t>
  </si>
  <si>
    <t>data analyst bootcamp near me</t>
  </si>
  <si>
    <t>[data analysis training near me]</t>
  </si>
  <si>
    <t>bootcamp business analytics</t>
  </si>
  <si>
    <t>[business intelligence boot camp]</t>
  </si>
  <si>
    <t>"business intelligence boot camp"</t>
  </si>
  <si>
    <t>"business analytics bootcamp"</t>
  </si>
  <si>
    <t>bootcamp for business analyst</t>
  </si>
  <si>
    <t>business intelligence boot camp</t>
  </si>
  <si>
    <t>"best business analytics bootcamp"</t>
  </si>
  <si>
    <t>"bootcamp business analytics"</t>
  </si>
  <si>
    <t>"bootcamp for business analyst"</t>
  </si>
  <si>
    <t>"online business intelligence bootcamp"</t>
  </si>
  <si>
    <t>[bootcamp business analytics]</t>
  </si>
  <si>
    <t>online business intelligence bootcamp</t>
  </si>
  <si>
    <t>[bootcamp for business analyst]</t>
  </si>
  <si>
    <t>[online business intelligence bootcamp]</t>
  </si>
  <si>
    <t>business analyst boot camp</t>
  </si>
  <si>
    <t>"business intelligence analyst bootcamp"</t>
  </si>
  <si>
    <t>business analytics bootcamp</t>
  </si>
  <si>
    <t>best business analytics bootcamp</t>
  </si>
  <si>
    <t>[business analytics bootcamp]</t>
  </si>
  <si>
    <t>[best business analytics bootcamp]</t>
  </si>
  <si>
    <t>business analyst bootcamp</t>
  </si>
  <si>
    <t>[business intelligence analyst bootcamp]</t>
  </si>
  <si>
    <t>business intelligence analyst bootcamp</t>
  </si>
  <si>
    <t>training to be a data analyst</t>
  </si>
  <si>
    <t>excel training for data analysis</t>
  </si>
  <si>
    <t>database analyst training</t>
  </si>
  <si>
    <t>"transition to data engineers"</t>
  </si>
  <si>
    <t>rarely served; campaign paused</t>
  </si>
  <si>
    <t>switch career to data engineering</t>
  </si>
  <si>
    <t>transition to data engineers</t>
  </si>
  <si>
    <t>[get into data engineering]</t>
  </si>
  <si>
    <t>career change to data engineer</t>
  </si>
  <si>
    <t>"become a data engineer"</t>
  </si>
  <si>
    <t>[transition to data engineers]</t>
  </si>
  <si>
    <t>get into data engineering</t>
  </si>
  <si>
    <t>[data engineer career growth]</t>
  </si>
  <si>
    <t>"data engineering career planning"</t>
  </si>
  <si>
    <t>data engineer career training</t>
  </si>
  <si>
    <t>"data engineer career growth"</t>
  </si>
  <si>
    <t>data engineer career coach</t>
  </si>
  <si>
    <t>data engineer course with placement</t>
  </si>
  <si>
    <t>"data engineering career roadmap"</t>
  </si>
  <si>
    <t>[become a data engineer]</t>
  </si>
  <si>
    <t>data engineering career planning</t>
  </si>
  <si>
    <t>[switch career to data engineering]</t>
  </si>
  <si>
    <t>data engineer career growth</t>
  </si>
  <si>
    <t>[data engineer career coach]</t>
  </si>
  <si>
    <t>"data engineering career path"</t>
  </si>
  <si>
    <t>"get into data engineering"</t>
  </si>
  <si>
    <t>data engineering career path</t>
  </si>
  <si>
    <t>[career change to data engineer]</t>
  </si>
  <si>
    <t>data engineer training and placement</t>
  </si>
  <si>
    <t>become a data engineer</t>
  </si>
  <si>
    <t>"switch career to data engineering"</t>
  </si>
  <si>
    <t>"data engineer career training"</t>
  </si>
  <si>
    <t>[data engineering career planning]</t>
  </si>
  <si>
    <t>"career change to data engineer"</t>
  </si>
  <si>
    <t>data engineering career roadmap</t>
  </si>
  <si>
    <t>[data engineering career path]</t>
  </si>
  <si>
    <t>"data engineer career coach"</t>
  </si>
  <si>
    <t>[data engineering career roadmap]</t>
  </si>
  <si>
    <t>[data engineer career training]</t>
  </si>
  <si>
    <t>"mentors for data engineering training"</t>
  </si>
  <si>
    <t>data engineering coaching</t>
  </si>
  <si>
    <t>big data mentorship</t>
  </si>
  <si>
    <t>mentors for transitioning to data engineer</t>
  </si>
  <si>
    <t>"data engineering mentorship program"</t>
  </si>
  <si>
    <t>[mentors for data engineering training]</t>
  </si>
  <si>
    <t>"big data mentorship"</t>
  </si>
  <si>
    <t>[mentors for transitioning to data engineer]</t>
  </si>
  <si>
    <t>data engineering mentorship program</t>
  </si>
  <si>
    <t>[online mentorship for data engineering]</t>
  </si>
  <si>
    <t>online mentorship for data engineering</t>
  </si>
  <si>
    <t>[data engineering coaching]</t>
  </si>
  <si>
    <t>"data engineering coaching"</t>
  </si>
  <si>
    <t>"data engineer career advisor"</t>
  </si>
  <si>
    <t>top data engineering mentors review</t>
  </si>
  <si>
    <t>"online mentorship for data engineering"</t>
  </si>
  <si>
    <t>"mentors for transitioning to data engineer"</t>
  </si>
  <si>
    <t>[data engineer career advisor]</t>
  </si>
  <si>
    <t>data engineering mentors</t>
  </si>
  <si>
    <t>mentors for data engineering training</t>
  </si>
  <si>
    <t>"data engineering mentors"</t>
  </si>
  <si>
    <t>"top data engineering mentors review"</t>
  </si>
  <si>
    <t>data engineer career advisor</t>
  </si>
  <si>
    <t>[data engineering mentors]</t>
  </si>
  <si>
    <t>[top data engineering mentors review]</t>
  </si>
  <si>
    <t>[big data mentorship]</t>
  </si>
  <si>
    <t>[data engineering mentorship program]</t>
  </si>
  <si>
    <t>[courses for transitioning to data engineering]</t>
  </si>
  <si>
    <t>[best online course for data engineering]</t>
  </si>
  <si>
    <t>[big data training courses]</t>
  </si>
  <si>
    <t>data engineering courses</t>
  </si>
  <si>
    <t>online data engineering courses</t>
  </si>
  <si>
    <t>[12-week data engineering training]</t>
  </si>
  <si>
    <t>data engineering fundamentals</t>
  </si>
  <si>
    <t>paused; low quality; campaign paused</t>
  </si>
  <si>
    <t>big data training courses</t>
  </si>
  <si>
    <t>best online course for data engineering</t>
  </si>
  <si>
    <t>12-week data engineering training</t>
  </si>
  <si>
    <t>courses for transitioning to data engineering</t>
  </si>
  <si>
    <t>[data engineering training courses]</t>
  </si>
  <si>
    <t>[online data engineering courses]</t>
  </si>
  <si>
    <t>"online data engineering courses"</t>
  </si>
  <si>
    <t>"best online course for data engineering"</t>
  </si>
  <si>
    <t>data engineering jobs ready training</t>
  </si>
  <si>
    <t>"courses for transitioning to data engineering"</t>
  </si>
  <si>
    <t>big data engineer course</t>
  </si>
  <si>
    <t>[data engineering jobs ready training]</t>
  </si>
  <si>
    <t>[data engineering fundamentals]</t>
  </si>
  <si>
    <t>"data engineering training courses"</t>
  </si>
  <si>
    <t>data engineering training courses</t>
  </si>
  <si>
    <t>"big data training courses"</t>
  </si>
  <si>
    <t>"data engineering fundamentals"</t>
  </si>
  <si>
    <t>"data engineering jobs ready training"</t>
  </si>
  <si>
    <t>"12-week data engineering training"</t>
  </si>
  <si>
    <t>[data engineer bootcamp cost]</t>
  </si>
  <si>
    <t>[data engineer training bootcamp]</t>
  </si>
  <si>
    <t>[top data engineering bootcamp 2023]</t>
  </si>
  <si>
    <t>big data engineer bootcamp</t>
  </si>
  <si>
    <t>"data engineer training bootcamp"</t>
  </si>
  <si>
    <t>"online data engineering bootcamp"</t>
  </si>
  <si>
    <t>"data engineering bootcamp canada"</t>
  </si>
  <si>
    <t>bootcamp for data engineer jobs</t>
  </si>
  <si>
    <t>bootcamp for transitioning to data engineer</t>
  </si>
  <si>
    <t>is data engineering bootcamp worth it</t>
  </si>
  <si>
    <t>[data engineer bootcamp curriculum]</t>
  </si>
  <si>
    <t>affordable data engineering bootcamp</t>
  </si>
  <si>
    <t>data engineer training bootcamp</t>
  </si>
  <si>
    <t>"affordable data engineering bootcamp"</t>
  </si>
  <si>
    <t>data engineering bootcamp</t>
  </si>
  <si>
    <t>"is data engineering bootcamp worth it"</t>
  </si>
  <si>
    <t>"data engineering bootcamp part time"</t>
  </si>
  <si>
    <t>[bootcamp for transitioning to data engineer]</t>
  </si>
  <si>
    <t>data engineer bootcamp cost</t>
  </si>
  <si>
    <t>[bootcamp for data engineer jobs]</t>
  </si>
  <si>
    <t>"12-week data engineering bootcamp"</t>
  </si>
  <si>
    <t>data engineer bootcamp curriculum</t>
  </si>
  <si>
    <t>[best data engineering bootcamp]</t>
  </si>
  <si>
    <t>"top data engineering bootcamp 2023"</t>
  </si>
  <si>
    <t>[data engineering bootcamp part time]</t>
  </si>
  <si>
    <t>"big data engineer bootcamp"</t>
  </si>
  <si>
    <t>[online data engineering bootcamp]</t>
  </si>
  <si>
    <t>"data engineer bootcamp curriculum"</t>
  </si>
  <si>
    <t>data engineering bootcamp canada</t>
  </si>
  <si>
    <t>[affordable data engineering bootcamp]</t>
  </si>
  <si>
    <t>"bootcamp for data engineer jobs"</t>
  </si>
  <si>
    <t>[is data engineering bootcamp worth it]</t>
  </si>
  <si>
    <t>"data engineer bootcamp cost"</t>
  </si>
  <si>
    <t>best data engineering bootcamp</t>
  </si>
  <si>
    <t>"best data engineering bootcamp"</t>
  </si>
  <si>
    <t>online data engineering bootcamp</t>
  </si>
  <si>
    <t>[data engineering bootcamp canada]</t>
  </si>
  <si>
    <t>top data engineering bootcamp 2023</t>
  </si>
  <si>
    <t>[big data engineer bootcamp]</t>
  </si>
  <si>
    <t>12-week data engineering bootcamp</t>
  </si>
  <si>
    <t>data engineering bootcamp part time</t>
  </si>
  <si>
    <t>"bootcamp for transitioning to data engineer"</t>
  </si>
  <si>
    <t>[12-week data engineering bootcamp]</t>
  </si>
  <si>
    <t>Sum:Impr.</t>
  </si>
  <si>
    <t>Sum:Conversions</t>
  </si>
  <si>
    <t>Sum:Clicks</t>
  </si>
  <si>
    <t>Sum:Cost</t>
  </si>
  <si>
    <t>Sum:CTR‘</t>
  </si>
  <si>
    <t>Sum:CVR</t>
  </si>
  <si>
    <t>Sum:CPA</t>
  </si>
  <si>
    <t>Sum:CPC</t>
  </si>
  <si>
    <t>Label</t>
  </si>
  <si>
    <t>Top 10 Keywords</t>
    <phoneticPr fontId="18" type="noConversion"/>
  </si>
  <si>
    <t>Age</t>
  </si>
  <si>
    <t>55 - 64</t>
  </si>
  <si>
    <t>25 - 34</t>
  </si>
  <si>
    <t>65+</t>
  </si>
  <si>
    <t>Unknown</t>
  </si>
  <si>
    <t>45 - 54</t>
  </si>
  <si>
    <t>35 - 44</t>
  </si>
  <si>
    <t>18 - 24</t>
  </si>
  <si>
    <t> --</t>
  </si>
  <si>
    <t>Sum:Cost / conv.</t>
  </si>
  <si>
    <t>Sum: True CPA</t>
  </si>
  <si>
    <t>Sum; True CVR</t>
  </si>
  <si>
    <t>Gender</t>
  </si>
  <si>
    <t>Female</t>
  </si>
  <si>
    <t>Male</t>
  </si>
  <si>
    <t>FY23_Brave_ISA_DA Program_National_Generic Trial 836</t>
  </si>
  <si>
    <t>计算字段</t>
  </si>
  <si>
    <t>求解次序</t>
  </si>
  <si>
    <t>字段</t>
  </si>
  <si>
    <t>公式</t>
  </si>
  <si>
    <t>计算数据项</t>
  </si>
  <si>
    <t>数据项</t>
  </si>
  <si>
    <t>注释:</t>
  </si>
  <si>
    <t>当有多个公式可以导致单元格被更新时，</t>
  </si>
  <si>
    <t>单元格数值取决于最终的求解次序。</t>
  </si>
  <si>
    <t>若要更改多个计算项或字段的求解次序，</t>
  </si>
  <si>
    <t>请在“选项”选项卡上的“计算”组中单击“字段”、“项目”和“设置”，然后单击“求解次序”。</t>
  </si>
  <si>
    <t>CPA</t>
  </si>
  <si>
    <t>=IF(Conversions=0, IF(Cost&gt;0, "WASTE", 0),Cost /Conversions)</t>
  </si>
  <si>
    <t>Sum:True CVR</t>
  </si>
  <si>
    <t>Sum:True CPA</t>
  </si>
  <si>
    <t>Household income</t>
  </si>
  <si>
    <t>21 - 30%</t>
  </si>
  <si>
    <t>31 - 40%</t>
  </si>
  <si>
    <t>Top 10%</t>
  </si>
  <si>
    <t>Lower 50%</t>
  </si>
  <si>
    <t>41 - 50%</t>
  </si>
  <si>
    <t>11 - 20%</t>
  </si>
  <si>
    <t>Total</t>
  </si>
  <si>
    <t>Household Income</t>
  </si>
  <si>
    <t>=IF(Conversions=0, IF(Cost=0, "WASTE", 0),Cost /Conversions)</t>
  </si>
  <si>
    <t>True CVR</t>
  </si>
  <si>
    <t>=IF(Conversions=0, IF(Clicks=0, "WASTE", 0),Conversions/Clicks)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</si>
</sst>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26" formatCode="\$#,##0.00_);[Red]\(\$#,##0.00\)"/>
    <numFmt numFmtId="176" formatCode="_ &quot;¥&quot;* #,##0.00_ ;_ &quot;¥&quot;* \-#,##0.00_ ;_ &quot;¥&quot;* &quot;-&quot;??_ ;_ @_ "/>
    <numFmt numFmtId="177" formatCode="0.00_);[Red]\(0.00\)"/>
    <numFmt numFmtId="178" formatCode="_-[$$-409]* #,##0.00_ ;_-[$$-409]* \-#,##0.00\ ;_-[$$-409]* &quot;-&quot;??_ ;_-@_ "/>
    <numFmt numFmtId="179" formatCode="_(\$* #,##0.00_);_(\$* \(#,##0.00\);_(\$* &quot;-&quot;??_);_(@_)"/>
    <numFmt numFmtId="188" formatCode="0_);[Red]\(0\)"/>
  </numFmts>
  <fonts count="3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1"/>
      <name val="等线"/>
      <family val="3"/>
      <charset val="134"/>
      <scheme val="minor"/>
    </font>
    <font>
      <b/>
      <sz val="11"/>
      <color theme="0"/>
      <name val="等线"/>
      <family val="3"/>
      <charset val="134"/>
      <scheme val="minor"/>
    </font>
    <font>
      <sz val="11"/>
      <color rgb="FF1F1F1F"/>
      <name val="Arial"/>
      <family val="2"/>
    </font>
    <font>
      <b/>
      <sz val="11"/>
      <color rgb="FF1F1F1F"/>
      <name val="Arial"/>
      <family val="2"/>
    </font>
    <font>
      <b/>
      <u/>
      <sz val="11"/>
      <color theme="1"/>
      <name val="等线"/>
      <family val="2"/>
      <scheme val="minor"/>
    </font>
    <font>
      <b/>
      <u/>
      <sz val="11"/>
      <color rgb="FF000000"/>
      <name val="等线"/>
      <family val="2"/>
      <scheme val="minor"/>
    </font>
    <font>
      <b/>
      <sz val="11"/>
      <color theme="1"/>
      <name val="等线"/>
      <family val="4"/>
      <charset val="134"/>
      <scheme val="minor"/>
    </font>
    <font>
      <sz val="10"/>
      <color rgb="FF000000"/>
      <name val="Helvetica Neue"/>
      <family val="2"/>
    </font>
    <font>
      <b/>
      <sz val="10"/>
      <color rgb="FF000000"/>
      <name val="Helvetica Neue"/>
      <family val="2"/>
    </font>
    <font>
      <sz val="12"/>
      <color rgb="FF000000"/>
      <name val="Helvetica Neue"/>
      <family val="2"/>
    </font>
    <font>
      <sz val="14"/>
      <color rgb="FF0A0A0A"/>
      <name val="Inter"/>
    </font>
    <font>
      <b/>
      <i/>
      <sz val="11"/>
      <color theme="1"/>
      <name val="等线"/>
      <family val="2"/>
      <charset val="134"/>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theme="0" tint="-0.14999847407452621"/>
      </patternFill>
    </fill>
    <fill>
      <patternFill patternType="solid">
        <fgColor theme="0"/>
        <bgColor indexed="64"/>
      </patternFill>
    </fill>
    <fill>
      <patternFill patternType="solid">
        <fgColor theme="0" tint="-0.249977111117893"/>
        <bgColor indexed="64"/>
      </patternFill>
    </fill>
    <fill>
      <patternFill patternType="solid">
        <fgColor theme="2"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1"/>
        <bgColor indexed="64"/>
      </patternFill>
    </fill>
    <fill>
      <patternFill patternType="solid">
        <fgColor theme="0" tint="-0.14999847407452621"/>
        <bgColor theme="0" tint="-0.14999847407452621"/>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left>
      <right/>
      <top style="thin">
        <color theme="4"/>
      </top>
      <bottom/>
      <diagonal/>
    </border>
    <border>
      <left style="thin">
        <color theme="4"/>
      </left>
      <right/>
      <top style="thin">
        <color theme="4"/>
      </top>
      <bottom style="thin">
        <color theme="4"/>
      </bottom>
      <diagonal/>
    </border>
    <border>
      <left/>
      <right/>
      <top/>
      <bottom style="thin">
        <color theme="4" tint="0.39997558519241921"/>
      </bottom>
      <diagonal/>
    </border>
    <border>
      <left/>
      <right/>
      <top style="thin">
        <color theme="4" tint="0.39997558519241921"/>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indexed="64"/>
      </left>
      <right style="medium">
        <color rgb="FF000000"/>
      </right>
      <top style="thin">
        <color indexed="64"/>
      </top>
      <bottom style="medium">
        <color rgb="FF000000"/>
      </bottom>
      <diagonal/>
    </border>
    <border>
      <left style="medium">
        <color rgb="FF000000"/>
      </left>
      <right style="medium">
        <color rgb="FF000000"/>
      </right>
      <top style="thin">
        <color indexed="64"/>
      </top>
      <bottom style="medium">
        <color rgb="FF000000"/>
      </bottom>
      <diagonal/>
    </border>
    <border>
      <left style="medium">
        <color rgb="FF000000"/>
      </left>
      <right style="thin">
        <color indexed="64"/>
      </right>
      <top style="thin">
        <color indexed="64"/>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style="thin">
        <color indexed="64"/>
      </left>
      <right style="medium">
        <color rgb="FF000000"/>
      </right>
      <top style="medium">
        <color rgb="FF000000"/>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thin">
        <color indexed="64"/>
      </right>
      <top style="medium">
        <color rgb="FF000000"/>
      </top>
      <bottom style="thin">
        <color indexed="64"/>
      </bottom>
      <diagonal/>
    </border>
    <border>
      <left/>
      <right/>
      <top style="thin">
        <color theme="1"/>
      </top>
      <bottom style="thin">
        <color theme="1"/>
      </bottom>
      <diagonal/>
    </border>
    <border>
      <left/>
      <right/>
      <top/>
      <bottom style="thin">
        <color theme="1"/>
      </bottom>
      <diagonal/>
    </border>
    <border>
      <left/>
      <right/>
      <top/>
      <bottom style="thin">
        <color indexed="8"/>
      </bottom>
      <diagonal/>
    </border>
  </borders>
  <cellStyleXfs count="4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176" fontId="1" fillId="0" borderId="0" applyFont="0" applyFill="0" applyBorder="0" applyAlignment="0" applyProtection="0">
      <alignment vertical="center"/>
    </xf>
    <xf numFmtId="9" fontId="1" fillId="0" borderId="0" applyFont="0" applyFill="0" applyBorder="0" applyAlignment="0" applyProtection="0">
      <alignment vertical="center"/>
    </xf>
  </cellStyleXfs>
  <cellXfs count="88">
    <xf numFmtId="0" fontId="0" fillId="0" borderId="0" xfId="0">
      <alignment vertical="center"/>
    </xf>
    <xf numFmtId="10" fontId="0" fillId="0" borderId="0" xfId="0" applyNumberFormat="1">
      <alignment vertical="center"/>
    </xf>
    <xf numFmtId="0" fontId="19" fillId="0" borderId="0" xfId="0" applyFont="1" applyAlignment="1">
      <alignment vertical="center" wrapText="1"/>
    </xf>
    <xf numFmtId="0" fontId="19" fillId="0" borderId="0" xfId="0" applyFont="1">
      <alignment vertical="center"/>
    </xf>
    <xf numFmtId="10" fontId="19" fillId="0" borderId="0" xfId="0" applyNumberFormat="1" applyFont="1" applyAlignment="1">
      <alignment vertical="center" wrapText="1"/>
    </xf>
    <xf numFmtId="3" fontId="19" fillId="0" borderId="0" xfId="0" applyNumberFormat="1" applyFont="1" applyAlignment="1">
      <alignment vertical="center" wrapText="1"/>
    </xf>
    <xf numFmtId="177"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16" fillId="33" borderId="12" xfId="0" applyFont="1" applyFill="1" applyBorder="1">
      <alignment vertical="center"/>
    </xf>
    <xf numFmtId="3" fontId="0" fillId="0" borderId="0" xfId="0" applyNumberFormat="1">
      <alignment vertical="center"/>
    </xf>
    <xf numFmtId="0" fontId="20" fillId="0" borderId="15" xfId="0" applyFont="1" applyBorder="1" applyAlignment="1">
      <alignment vertical="center" wrapText="1" readingOrder="1"/>
    </xf>
    <xf numFmtId="0" fontId="20" fillId="0" borderId="16" xfId="0" applyFont="1" applyBorder="1" applyAlignment="1">
      <alignment vertical="center" wrapText="1" readingOrder="1"/>
    </xf>
    <xf numFmtId="10" fontId="22" fillId="0" borderId="22" xfId="0" applyNumberFormat="1" applyFont="1" applyBorder="1" applyAlignment="1">
      <alignment vertical="center" wrapText="1" readingOrder="1"/>
    </xf>
    <xf numFmtId="26" fontId="22" fillId="0" borderId="23" xfId="0" applyNumberFormat="1" applyFont="1" applyBorder="1" applyAlignment="1">
      <alignment vertical="center" wrapText="1" readingOrder="1"/>
    </xf>
    <xf numFmtId="0" fontId="22" fillId="0" borderId="23" xfId="0" applyFont="1" applyBorder="1" applyAlignment="1">
      <alignment vertical="center" wrapText="1" readingOrder="1"/>
    </xf>
    <xf numFmtId="10" fontId="22" fillId="0" borderId="23" xfId="0" applyNumberFormat="1" applyFont="1" applyBorder="1" applyAlignment="1">
      <alignment vertical="center" wrapText="1" readingOrder="1"/>
    </xf>
    <xf numFmtId="26" fontId="22" fillId="0" borderId="24" xfId="0" applyNumberFormat="1" applyFont="1" applyBorder="1" applyAlignment="1">
      <alignment vertical="center" wrapText="1" readingOrder="1"/>
    </xf>
    <xf numFmtId="10" fontId="21" fillId="34" borderId="17" xfId="0" applyNumberFormat="1" applyFont="1" applyFill="1" applyBorder="1" applyAlignment="1">
      <alignment vertical="center" wrapText="1" readingOrder="1"/>
    </xf>
    <xf numFmtId="26" fontId="21" fillId="34" borderId="18" xfId="0" applyNumberFormat="1" applyFont="1" applyFill="1" applyBorder="1" applyAlignment="1">
      <alignment vertical="center" wrapText="1" readingOrder="1"/>
    </xf>
    <xf numFmtId="0" fontId="21" fillId="34" borderId="18" xfId="0" applyFont="1" applyFill="1" applyBorder="1" applyAlignment="1">
      <alignment vertical="center" wrapText="1" readingOrder="1"/>
    </xf>
    <xf numFmtId="10" fontId="21" fillId="34" borderId="18" xfId="0" applyNumberFormat="1" applyFont="1" applyFill="1" applyBorder="1" applyAlignment="1">
      <alignment vertical="center" wrapText="1" readingOrder="1"/>
    </xf>
    <xf numFmtId="26" fontId="21" fillId="34" borderId="19" xfId="0" applyNumberFormat="1" applyFont="1" applyFill="1" applyBorder="1" applyAlignment="1">
      <alignment vertical="center" wrapText="1" readingOrder="1"/>
    </xf>
    <xf numFmtId="26" fontId="21" fillId="35" borderId="14" xfId="0" applyNumberFormat="1" applyFont="1" applyFill="1" applyBorder="1" applyAlignment="1">
      <alignment vertical="center" wrapText="1" readingOrder="1"/>
    </xf>
    <xf numFmtId="0" fontId="21" fillId="35" borderId="14" xfId="0" applyFont="1" applyFill="1" applyBorder="1" applyAlignment="1">
      <alignment vertical="center" wrapText="1" readingOrder="1"/>
    </xf>
    <xf numFmtId="10" fontId="21" fillId="35" borderId="14" xfId="0" applyNumberFormat="1" applyFont="1" applyFill="1" applyBorder="1" applyAlignment="1">
      <alignment vertical="center" wrapText="1" readingOrder="1"/>
    </xf>
    <xf numFmtId="26" fontId="21" fillId="35" borderId="21" xfId="0" applyNumberFormat="1" applyFont="1" applyFill="1" applyBorder="1" applyAlignment="1">
      <alignment vertical="center" wrapText="1" readingOrder="1"/>
    </xf>
    <xf numFmtId="26" fontId="21" fillId="34" borderId="14" xfId="0" applyNumberFormat="1" applyFont="1" applyFill="1" applyBorder="1" applyAlignment="1">
      <alignment vertical="center" wrapText="1" readingOrder="1"/>
    </xf>
    <xf numFmtId="0" fontId="21" fillId="34" borderId="14" xfId="0" applyFont="1" applyFill="1" applyBorder="1" applyAlignment="1">
      <alignment vertical="center" wrapText="1" readingOrder="1"/>
    </xf>
    <xf numFmtId="10" fontId="21" fillId="34" borderId="14" xfId="0" applyNumberFormat="1" applyFont="1" applyFill="1" applyBorder="1" applyAlignment="1">
      <alignment vertical="center" wrapText="1" readingOrder="1"/>
    </xf>
    <xf numFmtId="26" fontId="6" fillId="2" borderId="21" xfId="6" applyNumberFormat="1" applyBorder="1" applyAlignment="1">
      <alignment vertical="center" wrapText="1" readingOrder="1"/>
    </xf>
    <xf numFmtId="10" fontId="6" fillId="2" borderId="20" xfId="6" applyNumberFormat="1" applyBorder="1" applyAlignment="1">
      <alignment vertical="center" wrapText="1" readingOrder="1"/>
    </xf>
    <xf numFmtId="177" fontId="6" fillId="2" borderId="0" xfId="0" applyNumberFormat="1" applyFont="1" applyFill="1">
      <alignment vertical="center"/>
    </xf>
    <xf numFmtId="10" fontId="7" fillId="3" borderId="20" xfId="7" applyNumberFormat="1" applyBorder="1" applyAlignment="1">
      <alignment vertical="center" wrapText="1" readingOrder="1"/>
    </xf>
    <xf numFmtId="26" fontId="7" fillId="3" borderId="14" xfId="7" applyNumberFormat="1" applyBorder="1" applyAlignment="1">
      <alignment vertical="center" wrapText="1" readingOrder="1"/>
    </xf>
    <xf numFmtId="0" fontId="23" fillId="36" borderId="0" xfId="0" applyFont="1" applyFill="1" applyAlignment="1"/>
    <xf numFmtId="0" fontId="0" fillId="36" borderId="0" xfId="0" applyFill="1" applyAlignment="1"/>
    <xf numFmtId="0" fontId="0" fillId="37" borderId="0" xfId="0" applyFill="1">
      <alignment vertical="center"/>
    </xf>
    <xf numFmtId="0" fontId="0" fillId="0" borderId="0" xfId="0" applyAlignment="1">
      <alignment horizontal="left" vertical="center" indent="1"/>
    </xf>
    <xf numFmtId="10" fontId="0" fillId="0" borderId="0" xfId="43" applyNumberFormat="1" applyFont="1">
      <alignment vertical="center"/>
    </xf>
    <xf numFmtId="10" fontId="16" fillId="0" borderId="12" xfId="43" applyNumberFormat="1" applyFont="1" applyBorder="1">
      <alignment vertical="center"/>
    </xf>
    <xf numFmtId="10" fontId="16" fillId="33" borderId="13" xfId="43" applyNumberFormat="1" applyFont="1" applyFill="1" applyBorder="1">
      <alignment vertical="center"/>
    </xf>
    <xf numFmtId="178" fontId="16" fillId="0" borderId="12" xfId="42" applyNumberFormat="1" applyFont="1" applyBorder="1">
      <alignment vertical="center"/>
    </xf>
    <xf numFmtId="178" fontId="0" fillId="0" borderId="0" xfId="42" applyNumberFormat="1" applyFont="1">
      <alignment vertical="center"/>
    </xf>
    <xf numFmtId="178" fontId="16" fillId="33" borderId="13" xfId="42" applyNumberFormat="1" applyFont="1" applyFill="1" applyBorder="1">
      <alignment vertical="center"/>
    </xf>
    <xf numFmtId="178" fontId="0" fillId="0" borderId="0" xfId="0" applyNumberFormat="1">
      <alignment vertical="center"/>
    </xf>
    <xf numFmtId="0" fontId="6" fillId="2" borderId="0" xfId="0" applyFont="1" applyFill="1">
      <alignment vertical="center"/>
    </xf>
    <xf numFmtId="10" fontId="0" fillId="38" borderId="0" xfId="43" applyNumberFormat="1" applyFont="1" applyFill="1">
      <alignment vertical="center"/>
    </xf>
    <xf numFmtId="10" fontId="0" fillId="39" borderId="0" xfId="43" applyNumberFormat="1" applyFont="1" applyFill="1">
      <alignment vertical="center"/>
    </xf>
    <xf numFmtId="178" fontId="0" fillId="39" borderId="0" xfId="42" applyNumberFormat="1" applyFont="1" applyFill="1">
      <alignment vertical="center"/>
    </xf>
    <xf numFmtId="178" fontId="0" fillId="38" borderId="0" xfId="42" applyNumberFormat="1" applyFont="1" applyFill="1">
      <alignment vertical="center"/>
    </xf>
    <xf numFmtId="178" fontId="16" fillId="33" borderId="12" xfId="0" applyNumberFormat="1" applyFont="1" applyFill="1" applyBorder="1">
      <alignment vertical="center"/>
    </xf>
    <xf numFmtId="178" fontId="16" fillId="0" borderId="12" xfId="0" applyNumberFormat="1" applyFont="1" applyBorder="1">
      <alignment vertical="center"/>
    </xf>
    <xf numFmtId="178" fontId="16" fillId="33" borderId="13" xfId="0" applyNumberFormat="1" applyFont="1" applyFill="1" applyBorder="1">
      <alignment vertical="center"/>
    </xf>
    <xf numFmtId="10" fontId="16" fillId="33" borderId="12" xfId="43" applyNumberFormat="1" applyFont="1" applyFill="1" applyBorder="1">
      <alignment vertical="center"/>
    </xf>
    <xf numFmtId="0" fontId="24" fillId="36" borderId="0" xfId="0" applyFont="1" applyFill="1" applyAlignment="1"/>
    <xf numFmtId="178" fontId="6" fillId="2" borderId="0" xfId="6" applyNumberFormat="1">
      <alignment vertical="center"/>
    </xf>
    <xf numFmtId="10" fontId="16" fillId="38" borderId="12" xfId="43" applyNumberFormat="1" applyFont="1" applyFill="1" applyBorder="1">
      <alignment vertical="center"/>
    </xf>
    <xf numFmtId="178" fontId="16" fillId="38" borderId="12" xfId="0" applyNumberFormat="1" applyFont="1" applyFill="1" applyBorder="1">
      <alignment vertical="center"/>
    </xf>
    <xf numFmtId="0" fontId="7" fillId="3" borderId="0" xfId="0" applyFont="1" applyFill="1">
      <alignment vertical="center"/>
    </xf>
    <xf numFmtId="10" fontId="16" fillId="39" borderId="12" xfId="43" applyNumberFormat="1" applyFont="1" applyFill="1" applyBorder="1">
      <alignment vertical="center"/>
    </xf>
    <xf numFmtId="178" fontId="16" fillId="39" borderId="12" xfId="0" applyNumberFormat="1" applyFont="1" applyFill="1" applyBorder="1">
      <alignment vertical="center"/>
    </xf>
    <xf numFmtId="0" fontId="0" fillId="0" borderId="10" xfId="0" applyBorder="1" applyAlignment="1">
      <alignment vertical="center" wrapText="1"/>
    </xf>
    <xf numFmtId="0" fontId="0" fillId="0" borderId="11" xfId="0" applyBorder="1" applyAlignment="1">
      <alignment vertical="center" wrapText="1"/>
    </xf>
    <xf numFmtId="10" fontId="16" fillId="33" borderId="13" xfId="0" applyNumberFormat="1" applyFont="1" applyFill="1" applyBorder="1">
      <alignment vertical="center"/>
    </xf>
    <xf numFmtId="10" fontId="6" fillId="2" borderId="0" xfId="6" applyNumberFormat="1">
      <alignment vertical="center"/>
    </xf>
    <xf numFmtId="10" fontId="7" fillId="3" borderId="0" xfId="7" applyNumberFormat="1">
      <alignment vertical="center"/>
    </xf>
    <xf numFmtId="178" fontId="7" fillId="3" borderId="0" xfId="7" applyNumberFormat="1">
      <alignment vertical="center"/>
    </xf>
    <xf numFmtId="178" fontId="7" fillId="3" borderId="0" xfId="0" applyNumberFormat="1" applyFont="1" applyFill="1">
      <alignment vertical="center"/>
    </xf>
    <xf numFmtId="179" fontId="0" fillId="0" borderId="0" xfId="42" applyNumberFormat="1" applyFont="1">
      <alignment vertical="center"/>
    </xf>
    <xf numFmtId="179" fontId="0" fillId="0" borderId="0" xfId="0" applyNumberFormat="1">
      <alignment vertical="center"/>
    </xf>
    <xf numFmtId="0" fontId="0" fillId="0" borderId="0" xfId="0" applyAlignment="1">
      <alignment horizontal="left" vertical="center" indent="2"/>
    </xf>
    <xf numFmtId="0" fontId="0" fillId="40" borderId="0" xfId="0" applyFill="1">
      <alignment vertical="center"/>
    </xf>
    <xf numFmtId="0" fontId="0" fillId="0" borderId="0" xfId="0" applyNumberFormat="1">
      <alignment vertical="center"/>
    </xf>
    <xf numFmtId="0" fontId="25" fillId="36" borderId="0" xfId="0" applyFont="1" applyFill="1" applyAlignment="1">
      <alignment horizontal="left"/>
    </xf>
    <xf numFmtId="0" fontId="16" fillId="0" borderId="25" xfId="0" applyFont="1" applyBorder="1">
      <alignment vertical="center"/>
    </xf>
    <xf numFmtId="0" fontId="0" fillId="0" borderId="11" xfId="0" applyFont="1" applyBorder="1" applyAlignment="1">
      <alignment vertical="center" wrapText="1"/>
    </xf>
    <xf numFmtId="0" fontId="27" fillId="0" borderId="0" xfId="0" applyFont="1">
      <alignment vertical="center"/>
    </xf>
    <xf numFmtId="0" fontId="26" fillId="0" borderId="0" xfId="0" applyFont="1">
      <alignment vertical="center"/>
    </xf>
    <xf numFmtId="10" fontId="26" fillId="0" borderId="0" xfId="0" applyNumberFormat="1" applyFont="1">
      <alignment vertical="center"/>
    </xf>
    <xf numFmtId="3" fontId="26" fillId="0" borderId="0" xfId="0" applyNumberFormat="1" applyFont="1">
      <alignment vertical="center"/>
    </xf>
    <xf numFmtId="188" fontId="0" fillId="0" borderId="0" xfId="0" applyNumberFormat="1">
      <alignment vertical="center"/>
    </xf>
    <xf numFmtId="0" fontId="28" fillId="0" borderId="0" xfId="0" applyFont="1">
      <alignment vertical="center"/>
    </xf>
    <xf numFmtId="0" fontId="29" fillId="0" borderId="0" xfId="0" applyFont="1">
      <alignment vertical="center"/>
    </xf>
    <xf numFmtId="0" fontId="30" fillId="0" borderId="0" xfId="0" applyFont="1">
      <alignment vertical="center"/>
    </xf>
    <xf numFmtId="0" fontId="16" fillId="0" borderId="27" xfId="0" applyFont="1" applyBorder="1">
      <alignment vertical="center"/>
    </xf>
    <xf numFmtId="0" fontId="29" fillId="41" borderId="26" xfId="0" applyFont="1" applyFill="1" applyBorder="1">
      <alignment vertical="center"/>
    </xf>
    <xf numFmtId="0" fontId="28" fillId="41" borderId="0" xfId="0" applyFont="1" applyFill="1">
      <alignment vertical="center"/>
    </xf>
  </cellXfs>
  <cellStyles count="44">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3"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货币" xfId="42" builtinId="4"/>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98">
    <dxf>
      <numFmt numFmtId="14" formatCode="0.00%"/>
    </dxf>
    <dxf>
      <numFmt numFmtId="14" formatCode="0.00%"/>
    </dxf>
    <dxf>
      <numFmt numFmtId="179" formatCode="_(\$* #,##0.00_);_(\$* \(#,##0.00\);_(\$* &quot;-&quot;??_);_(@_)"/>
    </dxf>
    <dxf>
      <numFmt numFmtId="179" formatCode="_(\$* #,##0.00_);_(\$* \(#,##0.00\);_(\$* &quot;-&quot;??_);_(@_)"/>
    </dxf>
    <dxf>
      <numFmt numFmtId="179" formatCode="_(\$* #,##0.00_);_(\$* \(#,##0.00\);_(\$* &quot;-&quot;??_);_(@_)"/>
    </dxf>
    <dxf>
      <numFmt numFmtId="179" formatCode="_(\$* #,##0.00_);_(\$* \(#,##0.00\);_(\$* &quot;-&quot;??_);_(@_)"/>
    </dxf>
    <dxf>
      <numFmt numFmtId="14" formatCode="0.00%"/>
    </dxf>
    <dxf>
      <numFmt numFmtId="179" formatCode="_(\$* #,##0.00_);_(\$* \(#,##0.00\);_(\$* &quot;-&quot;??_);_(@_)"/>
    </dxf>
    <dxf>
      <numFmt numFmtId="179" formatCode="_(\$* #,##0.00_);_(\$* \(#,##0.00\);_(\$* &quot;-&quot;??_);_(@_)"/>
    </dxf>
    <dxf>
      <numFmt numFmtId="179" formatCode="_(\$* #,##0.00_);_(\$* \(#,##0.00\);_(\$* &quot;-&quot;??_);_(@_)"/>
    </dxf>
    <dxf>
      <numFmt numFmtId="179" formatCode="_(\$* #,##0.00_);_(\$* \(#,##0.00\);_(\$* &quot;-&quot;??_);_(@_)"/>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numFmt numFmtId="14" formatCode="0.00%"/>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numFmt numFmtId="14" formatCode="0.00%"/>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val="0"/>
        <i val="0"/>
        <strike val="0"/>
        <condense val="0"/>
        <extend val="0"/>
        <outline val="0"/>
        <shadow val="0"/>
        <u val="none"/>
        <vertAlign val="baseline"/>
        <sz val="14"/>
        <color rgb="FF0A0A0A"/>
        <name val="Inter"/>
        <scheme val="none"/>
      </font>
    </dxf>
    <dxf>
      <numFmt numFmtId="179" formatCode="_(\$* #,##0.00_);_(\$* \(#,##0.00\);_(\$* &quot;-&quot;??_);_(@_)"/>
    </dxf>
    <dxf>
      <numFmt numFmtId="188" formatCode="0_);[Red]\(0\)"/>
    </dxf>
    <dxf>
      <numFmt numFmtId="188" formatCode="0_);[Red]\(0\)"/>
    </dxf>
    <dxf>
      <numFmt numFmtId="188" formatCode="0_);[Red]\(0\)"/>
    </dxf>
    <dxf>
      <numFmt numFmtId="188" formatCode="0_);[Red]\(0\)"/>
    </dxf>
    <dxf>
      <numFmt numFmtId="188" formatCode="0_);[Red]\(0\)"/>
    </dxf>
    <dxf>
      <numFmt numFmtId="188" formatCode="0_);[Red]\(0\)"/>
    </dxf>
    <dxf>
      <numFmt numFmtId="179" formatCode="_(\$* #,##0.00_);_(\$* \(#,##0.00\);_(\$* &quot;-&quot;??_);_(@_)"/>
    </dxf>
    <dxf>
      <numFmt numFmtId="14" formatCode="0.00%"/>
    </dxf>
    <dxf>
      <numFmt numFmtId="14" formatCode="0.00%"/>
    </dxf>
    <dxf>
      <numFmt numFmtId="14" formatCode="0.00%"/>
    </dxf>
    <dxf>
      <numFmt numFmtId="3" formatCode="#,##0"/>
    </dxf>
    <dxf>
      <numFmt numFmtId="14" formatCode="0.00%"/>
    </dxf>
    <dxf>
      <numFmt numFmtId="178" formatCode="_-[$$-409]* #,##0.00_ ;_-[$$-409]* \-#,##0.00\ ;_-[$$-409]* &quot;-&quot;??_ ;_-@_ "/>
    </dxf>
    <dxf>
      <numFmt numFmtId="14" formatCode="0.00%"/>
    </dxf>
    <dxf>
      <font>
        <b val="0"/>
        <i val="0"/>
        <strike val="0"/>
        <condense val="0"/>
        <extend val="0"/>
        <outline val="0"/>
        <shadow val="0"/>
        <u val="none"/>
        <vertAlign val="baseline"/>
        <sz val="11"/>
        <color theme="1"/>
        <name val="等线"/>
        <family val="2"/>
        <charset val="134"/>
        <scheme val="minor"/>
      </font>
      <alignment horizontal="general" vertical="center" textRotation="0" wrapText="1" indent="0" justifyLastLine="0" shrinkToFit="0" readingOrder="0"/>
      <border diagonalUp="0" diagonalDown="0">
        <left style="thin">
          <color theme="4"/>
        </left>
        <right/>
        <top style="thin">
          <color theme="4"/>
        </top>
        <bottom style="thin">
          <color theme="4"/>
        </bottom>
        <vertical/>
        <horizontal/>
      </border>
    </dxf>
    <dxf>
      <font>
        <b val="0"/>
        <i val="0"/>
        <strike val="0"/>
        <condense val="0"/>
        <extend val="0"/>
        <outline val="0"/>
        <shadow val="0"/>
        <u val="none"/>
        <vertAlign val="baseline"/>
        <sz val="11"/>
        <color theme="1"/>
        <name val="等线"/>
        <family val="3"/>
        <charset val="134"/>
        <scheme val="min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numFmt numFmtId="14" formatCode="0.00%"/>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等线"/>
        <family val="3"/>
        <charset val="134"/>
        <scheme val="minor"/>
      </font>
      <alignment horizontal="general" vertical="center" textRotation="0" wrapText="1" indent="0" justifyLastLine="0" shrinkToFit="0" readingOrder="0"/>
    </dxf>
    <dxf>
      <numFmt numFmtId="14" formatCode="0.00%"/>
    </dxf>
    <dxf>
      <numFmt numFmtId="179" formatCode="_(\$* #,##0.00_);_(\$* \(#,##0.00\);_(\$* &quot;-&quot;??_);_(@_)"/>
    </dxf>
    <dxf>
      <numFmt numFmtId="179" formatCode="_(\$* #,##0.00_);_(\$* \(#,##0.00\);_(\$* &quot;-&quot;??_);_(@_)"/>
    </dxf>
    <dxf>
      <numFmt numFmtId="14" formatCode="0.00%"/>
    </dxf>
    <dxf>
      <numFmt numFmtId="14" formatCode="0.00%"/>
    </dxf>
    <dxf>
      <fill>
        <patternFill patternType="none">
          <bgColor auto="1"/>
        </patternFill>
      </fill>
    </dxf>
    <dxf>
      <fill>
        <patternFill patternType="none">
          <bgColor auto="1"/>
        </patternFill>
      </fill>
    </dxf>
    <dxf>
      <numFmt numFmtId="179" formatCode="_(\$* #,##0.00_);_(\$* \(#,##0.00\);_(\$* &quot;-&quot;??_);_(@_)"/>
    </dxf>
    <dxf>
      <numFmt numFmtId="179" formatCode="_(\$* #,##0.00_);_(\$* \(#,##0.00\);_(\$* &quot;-&quot;??_);_(@_)"/>
    </dxf>
    <dxf>
      <numFmt numFmtId="14" formatCode="0.00%"/>
    </dxf>
    <dxf>
      <numFmt numFmtId="14" formatCode="0.00%"/>
    </dxf>
    <dxf>
      <numFmt numFmtId="14" formatCode="0.00%"/>
    </dxf>
    <dxf>
      <numFmt numFmtId="14" formatCode="0.00%"/>
    </dxf>
    <dxf>
      <numFmt numFmtId="179" formatCode="_(\$* #,##0.00_);_(\$* \(#,##0.00\);_(\$* &quot;-&quot;??_);_(@_)"/>
    </dxf>
    <dxf>
      <numFmt numFmtId="179" formatCode="_(\$* #,##0.00_);_(\$* \(#,##0.00\);_(\$* &quot;-&quot;??_);_(@_)"/>
    </dxf>
    <dxf>
      <numFmt numFmtId="179" formatCode="_(\$* #,##0.00_);_(\$* \(#,##0.00\);_(\$* &quot;-&quot;??_);_(@_)"/>
    </dxf>
    <dxf>
      <numFmt numFmtId="179" formatCode="_(\$* #,##0.00_);_(\$* \(#,##0.00\);_(\$* &quot;-&quot;??_);_(@_)"/>
    </dxf>
    <dxf>
      <font>
        <b val="0"/>
        <i val="0"/>
        <strike val="0"/>
        <condense val="0"/>
        <extend val="0"/>
        <outline val="0"/>
        <shadow val="0"/>
        <u val="none"/>
        <vertAlign val="baseline"/>
        <sz val="11"/>
        <color rgb="FF9C0006"/>
        <name val="等线"/>
        <family val="2"/>
        <charset val="134"/>
        <scheme val="minor"/>
      </font>
      <fill>
        <patternFill patternType="solid">
          <fgColor indexed="65"/>
          <bgColor rgb="FFFFC7CE"/>
        </patternFill>
      </fill>
    </dxf>
    <dxf>
      <font>
        <b val="0"/>
        <i val="0"/>
        <strike val="0"/>
        <condense val="0"/>
        <extend val="0"/>
        <outline val="0"/>
        <shadow val="0"/>
        <u val="none"/>
        <vertAlign val="baseline"/>
        <sz val="11"/>
        <color rgb="FF9C0006"/>
        <name val="等线"/>
        <family val="2"/>
        <charset val="134"/>
        <scheme val="minor"/>
      </font>
      <fill>
        <patternFill patternType="solid">
          <fgColor indexed="65"/>
          <bgColor rgb="FFFFC7CE"/>
        </patternFill>
      </fill>
    </dxf>
    <dxf>
      <font>
        <b val="0"/>
        <i val="0"/>
        <strike val="0"/>
        <condense val="0"/>
        <extend val="0"/>
        <outline val="0"/>
        <shadow val="0"/>
        <u val="none"/>
        <vertAlign val="baseline"/>
        <sz val="11"/>
        <color rgb="FF9C0006"/>
        <name val="等线"/>
        <family val="2"/>
        <charset val="134"/>
        <scheme val="minor"/>
      </font>
      <fill>
        <patternFill patternType="solid">
          <fgColor indexed="65"/>
          <bgColor rgb="FFFFC7CE"/>
        </patternFill>
      </fill>
    </dxf>
    <dxf>
      <font>
        <b val="0"/>
        <i val="0"/>
        <strike val="0"/>
        <condense val="0"/>
        <extend val="0"/>
        <outline val="0"/>
        <shadow val="0"/>
        <u val="none"/>
        <vertAlign val="baseline"/>
        <sz val="11"/>
        <color rgb="FF9C0006"/>
        <name val="等线"/>
        <family val="2"/>
        <charset val="134"/>
        <scheme val="minor"/>
      </font>
      <fill>
        <patternFill patternType="solid">
          <fgColor indexed="65"/>
          <bgColor rgb="FFFFC7CE"/>
        </patternFill>
      </fill>
    </dxf>
    <dxf>
      <font>
        <b val="0"/>
        <i val="0"/>
        <strike val="0"/>
        <condense val="0"/>
        <extend val="0"/>
        <outline val="0"/>
        <shadow val="0"/>
        <u val="none"/>
        <vertAlign val="baseline"/>
        <sz val="11"/>
        <color rgb="FF006100"/>
        <name val="等线"/>
        <family val="2"/>
        <charset val="134"/>
        <scheme val="minor"/>
      </font>
      <fill>
        <patternFill patternType="solid">
          <fgColor indexed="65"/>
          <bgColor rgb="FFC6EFCE"/>
        </patternFill>
      </fill>
    </dxf>
    <dxf>
      <font>
        <b val="0"/>
        <i val="0"/>
        <strike val="0"/>
        <condense val="0"/>
        <extend val="0"/>
        <outline val="0"/>
        <shadow val="0"/>
        <u val="none"/>
        <vertAlign val="baseline"/>
        <sz val="11"/>
        <color rgb="FF006100"/>
        <name val="等线"/>
        <family val="2"/>
        <charset val="134"/>
        <scheme val="minor"/>
      </font>
      <fill>
        <patternFill patternType="solid">
          <fgColor indexed="65"/>
          <bgColor rgb="FFC6EFCE"/>
        </patternFill>
      </fill>
    </dxf>
    <dxf>
      <border diagonalUp="0" diagonalDown="0">
        <left style="medium">
          <color rgb="FF000000"/>
        </left>
        <right style="thin">
          <color indexed="64"/>
        </right>
        <top style="medium">
          <color rgb="FF000000"/>
        </top>
        <bottom style="medium">
          <color rgb="FF000000"/>
        </bottom>
        <vertical style="medium">
          <color rgb="FF000000"/>
        </vertical>
        <horizontal style="medium">
          <color rgb="FF000000"/>
        </horizontal>
      </border>
    </dxf>
    <dxf>
      <border diagonalUp="0" diagonalDown="0">
        <left style="medium">
          <color rgb="FF000000"/>
        </left>
        <right style="medium">
          <color rgb="FF000000"/>
        </right>
        <top style="medium">
          <color rgb="FF000000"/>
        </top>
        <bottom style="medium">
          <color rgb="FF000000"/>
        </bottom>
        <vertical style="medium">
          <color rgb="FF000000"/>
        </vertical>
        <horizontal style="medium">
          <color rgb="FF000000"/>
        </horizontal>
      </border>
    </dxf>
    <dxf>
      <border diagonalUp="0" diagonalDown="0">
        <left style="medium">
          <color rgb="FF000000"/>
        </left>
        <right style="medium">
          <color rgb="FF000000"/>
        </right>
        <top style="medium">
          <color rgb="FF000000"/>
        </top>
        <bottom style="medium">
          <color rgb="FF000000"/>
        </bottom>
        <vertical style="medium">
          <color rgb="FF000000"/>
        </vertical>
        <horizontal style="medium">
          <color rgb="FF000000"/>
        </horizontal>
      </border>
    </dxf>
    <dxf>
      <border diagonalUp="0" diagonalDown="0">
        <left style="medium">
          <color rgb="FF000000"/>
        </left>
        <right style="medium">
          <color rgb="FF000000"/>
        </right>
        <top style="medium">
          <color rgb="FF000000"/>
        </top>
        <bottom style="medium">
          <color rgb="FF000000"/>
        </bottom>
        <vertical style="medium">
          <color rgb="FF000000"/>
        </vertical>
        <horizontal style="medium">
          <color rgb="FF000000"/>
        </horizontal>
      </border>
    </dxf>
    <dxf>
      <border diagonalUp="0" diagonalDown="0">
        <left style="medium">
          <color rgb="FF000000"/>
        </left>
        <right style="medium">
          <color rgb="FF000000"/>
        </right>
        <top style="medium">
          <color rgb="FF000000"/>
        </top>
        <bottom style="medium">
          <color rgb="FF000000"/>
        </bottom>
        <vertical style="medium">
          <color rgb="FF000000"/>
        </vertical>
        <horizontal style="medium">
          <color rgb="FF000000"/>
        </horizontal>
      </border>
    </dxf>
    <dxf>
      <border diagonalUp="0" diagonalDown="0">
        <left style="thin">
          <color indexed="64"/>
        </left>
        <right style="medium">
          <color rgb="FF000000"/>
        </right>
        <top style="medium">
          <color rgb="FF000000"/>
        </top>
        <bottom style="medium">
          <color rgb="FF000000"/>
        </bottom>
        <vertical style="medium">
          <color rgb="FF000000"/>
        </vertical>
        <horizontal style="medium">
          <color rgb="FF000000"/>
        </horizontal>
      </border>
    </dxf>
    <dxf>
      <border outline="0">
        <left style="medium">
          <color rgb="FF000000"/>
        </left>
      </border>
    </dxf>
    <dxf>
      <font>
        <b/>
        <i val="0"/>
        <strike val="0"/>
        <condense val="0"/>
        <extend val="0"/>
        <outline val="0"/>
        <shadow val="0"/>
        <u val="none"/>
        <vertAlign val="baseline"/>
        <sz val="11"/>
        <color theme="0"/>
        <name val="等线"/>
        <charset val="134"/>
        <scheme val="minor"/>
      </font>
      <alignment horizontal="general"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rgb="FF006100"/>
        <name val="等线"/>
        <family val="2"/>
        <charset val="134"/>
        <scheme val="minor"/>
      </font>
      <fill>
        <patternFill patternType="solid">
          <fgColor indexed="65"/>
          <bgColor rgb="FFC6EFCE"/>
        </patternFill>
      </fill>
    </dxf>
    <dxf>
      <numFmt numFmtId="177" formatCode="0.00_);[Red]\(0.00\)"/>
    </dxf>
    <dxf>
      <numFmt numFmtId="177" formatCode="0.00_);[Red]\(0.00\)"/>
    </dxf>
    <dxf>
      <font>
        <b val="0"/>
        <i val="0"/>
        <strike val="0"/>
        <condense val="0"/>
        <extend val="0"/>
        <outline val="0"/>
        <shadow val="0"/>
        <u val="none"/>
        <vertAlign val="baseline"/>
        <sz val="11"/>
        <color rgb="FF9C0006"/>
        <name val="等线"/>
        <family val="2"/>
        <charset val="134"/>
        <scheme val="minor"/>
      </font>
      <fill>
        <patternFill patternType="solid">
          <fgColor indexed="65"/>
          <bgColor rgb="FFFFC7CE"/>
        </patternFill>
      </fill>
    </dxf>
    <dxf>
      <font>
        <b val="0"/>
        <i val="0"/>
        <strike val="0"/>
        <condense val="0"/>
        <extend val="0"/>
        <outline val="0"/>
        <shadow val="0"/>
        <u val="none"/>
        <vertAlign val="baseline"/>
        <sz val="11"/>
        <color rgb="FF006100"/>
        <name val="等线"/>
        <family val="2"/>
        <charset val="134"/>
        <scheme val="minor"/>
      </font>
      <fill>
        <patternFill patternType="solid">
          <fgColor indexed="65"/>
          <bgColor rgb="FFC6EFCE"/>
        </patternFill>
      </fill>
    </dxf>
    <dxf>
      <font>
        <b val="0"/>
        <i val="0"/>
        <strike val="0"/>
        <condense val="0"/>
        <extend val="0"/>
        <outline val="0"/>
        <shadow val="0"/>
        <u val="none"/>
        <vertAlign val="baseline"/>
        <sz val="11"/>
        <color rgb="FF006100"/>
        <name val="等线"/>
        <family val="2"/>
        <charset val="134"/>
        <scheme val="minor"/>
      </font>
      <fill>
        <patternFill patternType="solid">
          <fgColor indexed="65"/>
          <bgColor rgb="FFC6EFCE"/>
        </patternFill>
      </fill>
    </dxf>
    <dxf>
      <numFmt numFmtId="178" formatCode="_-[$$-409]* #,##0.00_ ;_-[$$-409]* \-#,##0.00\ ;_-[$$-409]* &quot;-&quot;??_ ;_-@_ "/>
    </dxf>
    <dxf>
      <numFmt numFmtId="178" formatCode="_-[$$-409]* #,##0.00_ ;_-[$$-409]* \-#,##0.00\ ;_-[$$-409]* &quot;-&quot;??_ ;_-@_ "/>
    </dxf>
    <dxf>
      <numFmt numFmtId="178" formatCode="_-[$$-409]* #,##0.00_ ;_-[$$-409]* \-#,##0.00\ ;_-[$$-409]* &quot;-&quot;??_ ;_-@_ "/>
    </dxf>
  </dxfs>
  <tableStyles count="0" defaultTableStyle="TableStyleMedium2" defaultPivotStyle="PivotStyleLight16"/>
  <colors>
    <mruColors>
      <color rgb="FFFFFFCC"/>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27457</xdr:rowOff>
    </xdr:from>
    <xdr:to>
      <xdr:col>8</xdr:col>
      <xdr:colOff>1307432</xdr:colOff>
      <xdr:row>23</xdr:row>
      <xdr:rowOff>24064</xdr:rowOff>
    </xdr:to>
    <xdr:sp macro="" textlink="">
      <xdr:nvSpPr>
        <xdr:cNvPr id="2" name="TextBox 1">
          <a:extLst>
            <a:ext uri="{FF2B5EF4-FFF2-40B4-BE49-F238E27FC236}">
              <a16:creationId xmlns:a16="http://schemas.microsoft.com/office/drawing/2014/main" id="{6E713FA1-2CBF-EA88-A755-ACD2BC98CA03}"/>
            </a:ext>
          </a:extLst>
        </xdr:cNvPr>
        <xdr:cNvSpPr txBox="1"/>
      </xdr:nvSpPr>
      <xdr:spPr>
        <a:xfrm>
          <a:off x="0" y="1294783"/>
          <a:ext cx="13074316" cy="2820018"/>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b="1"/>
            <a:t>Data Observations:</a:t>
          </a:r>
        </a:p>
        <a:p>
          <a:r>
            <a:rPr lang="en-US" altLang="zh-CN" b="1"/>
            <a:t>Top Performer (Efficiency):</a:t>
          </a:r>
          <a:r>
            <a:rPr lang="en-US" altLang="zh-CN"/>
            <a:t> The </a:t>
          </a:r>
          <a:r>
            <a:rPr lang="en-US" altLang="zh-CN" b="1"/>
            <a:t>FY24 National Generic</a:t>
          </a:r>
          <a:r>
            <a:rPr lang="en-US" altLang="zh-CN"/>
            <a:t> campaign is the most efficient, achieving the lowest Cost Per Acquisition (CPA) at </a:t>
          </a:r>
          <a:r>
            <a:rPr lang="en-US" altLang="zh-CN" b="1"/>
            <a:t>$33.66</a:t>
          </a:r>
          <a:r>
            <a:rPr lang="en-US" altLang="zh-CN"/>
            <a:t>.</a:t>
          </a:r>
        </a:p>
        <a:p>
          <a:r>
            <a:rPr lang="en-US" altLang="zh-CN" b="1"/>
            <a:t>Top Performer (Engagement):</a:t>
          </a:r>
          <a:r>
            <a:rPr lang="en-US" altLang="zh-CN"/>
            <a:t> The </a:t>
          </a:r>
          <a:r>
            <a:rPr lang="en-US" altLang="zh-CN" b="1"/>
            <a:t>FY23 Trial 836</a:t>
          </a:r>
          <a:r>
            <a:rPr lang="en-US" altLang="zh-CN"/>
            <a:t> campaign has the highest Click-Through Rate (CTR) at </a:t>
          </a:r>
          <a:r>
            <a:rPr lang="en-US" altLang="zh-CN" b="1"/>
            <a:t>4.86%</a:t>
          </a:r>
          <a:r>
            <a:rPr lang="en-US" altLang="zh-CN"/>
            <a:t>, suggesting highly relevant ad copy, though it has the lowest volume.</a:t>
          </a:r>
        </a:p>
        <a:p>
          <a:r>
            <a:rPr lang="en-US" altLang="zh-CN" b="1"/>
            <a:t>Volume Driver:</a:t>
          </a:r>
          <a:r>
            <a:rPr lang="en-US" altLang="zh-CN"/>
            <a:t> The </a:t>
          </a:r>
          <a:r>
            <a:rPr lang="en-US" altLang="zh-CN" b="1"/>
            <a:t>FY24</a:t>
          </a:r>
          <a:r>
            <a:rPr lang="en-US" altLang="zh-CN"/>
            <a:t> campaign is driving the bulk of the visibility (34k impressions) and clicks (470), accounting for nearly 70% of total impressions.</a:t>
          </a:r>
        </a:p>
        <a:p>
          <a:endParaRPr lang="en-US" altLang="zh-CN"/>
        </a:p>
        <a:p>
          <a:r>
            <a:rPr lang="en-US" altLang="zh-CN" b="1"/>
            <a:t>Insights:</a:t>
          </a:r>
        </a:p>
        <a:p>
          <a:r>
            <a:rPr lang="en-US" altLang="zh-CN" b="1"/>
            <a:t>Why is FY24 winning on cost?</a:t>
          </a:r>
          <a:r>
            <a:rPr lang="en-US" altLang="zh-CN"/>
            <a:t> Despite having the lowest CTR (1.38%), the FY24 campaign has a significantly lower Cost Per Click ($2.58) compared to the FY23 Generic campaign ($4.32). Because the clicks are cheaper, the final cost per lead is much lower, even with similar conversion rates.</a:t>
          </a:r>
        </a:p>
        <a:p>
          <a:r>
            <a:rPr lang="en-US" altLang="zh-CN" b="1"/>
            <a:t>Conversion Rate Stability:</a:t>
          </a:r>
          <a:r>
            <a:rPr lang="en-US" altLang="zh-CN"/>
            <a:t> The Conversion Rate (CVR) is very consistent between the main FY23 campaign (7.93%) and the FY24 campaign (7.66%). This indicates that the landing page is performing reliably regardless of which campaign sends the traffic.</a:t>
          </a:r>
        </a:p>
        <a:p>
          <a:endParaRPr lang="en-US" altLang="zh-CN"/>
        </a:p>
        <a:p>
          <a:r>
            <a:rPr lang="en-US" altLang="zh-CN" b="1"/>
            <a:t>Recommendations:</a:t>
          </a:r>
        </a:p>
        <a:p>
          <a:r>
            <a:rPr lang="en-US" altLang="zh-CN" b="1"/>
            <a:t>Shift Budget to FY24:</a:t>
          </a:r>
          <a:r>
            <a:rPr lang="en-US" altLang="zh-CN"/>
            <a:t> Since the FY24 campaign is generating leads for ~$33 (vs. ~$54 for FY23), consider moving more budget here to maximize total lead volume for the same spend.</a:t>
          </a:r>
        </a:p>
        <a:p>
          <a:r>
            <a:rPr lang="en-US" altLang="zh-CN" b="1"/>
            <a:t>Audit FY23 CPCs:</a:t>
          </a:r>
          <a:r>
            <a:rPr lang="en-US" altLang="zh-CN"/>
            <a:t> The FY23 Generic campaign is paying ~$4.32 per click. Review the keywords and Quality Scores to see why this is nearly double the cost of the FY24 campaign.</a:t>
          </a:r>
        </a:p>
        <a:p>
          <a:r>
            <a:rPr lang="en-US" altLang="zh-CN" b="1"/>
            <a:t>Test Ad Copy in FY24:</a:t>
          </a:r>
          <a:r>
            <a:rPr lang="en-US" altLang="zh-CN"/>
            <a:t> The only weakness in the FY24 campaign is the low CTR (1.38%). Try testing new headlines inspired by the high-performing "Trial 836" ads to boost this number.</a:t>
          </a:r>
        </a:p>
        <a:p>
          <a:endParaRPr lang="zh-CN" altLang="en-US" sz="1100"/>
        </a:p>
      </xdr:txBody>
    </xdr:sp>
    <xdr:clientData/>
  </xdr:twoCellAnchor>
  <xdr:twoCellAnchor>
    <xdr:from>
      <xdr:col>0</xdr:col>
      <xdr:colOff>40105</xdr:colOff>
      <xdr:row>34</xdr:row>
      <xdr:rowOff>30078</xdr:rowOff>
    </xdr:from>
    <xdr:to>
      <xdr:col>8</xdr:col>
      <xdr:colOff>1373606</xdr:colOff>
      <xdr:row>49</xdr:row>
      <xdr:rowOff>50132</xdr:rowOff>
    </xdr:to>
    <xdr:sp macro="" textlink="">
      <xdr:nvSpPr>
        <xdr:cNvPr id="3" name="TextBox 2">
          <a:extLst>
            <a:ext uri="{FF2B5EF4-FFF2-40B4-BE49-F238E27FC236}">
              <a16:creationId xmlns:a16="http://schemas.microsoft.com/office/drawing/2014/main" id="{3F3877E7-5BE3-3547-1059-A0AB6F51BC23}"/>
            </a:ext>
          </a:extLst>
        </xdr:cNvPr>
        <xdr:cNvSpPr txBox="1"/>
      </xdr:nvSpPr>
      <xdr:spPr>
        <a:xfrm>
          <a:off x="40105" y="5865394"/>
          <a:ext cx="13124448" cy="257676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b="1"/>
            <a:t>Data Observations:</a:t>
          </a:r>
        </a:p>
        <a:p>
          <a:r>
            <a:rPr lang="en-US" altLang="zh-CN" b="1"/>
            <a:t>Campaign Isolation:</a:t>
          </a:r>
          <a:r>
            <a:rPr lang="en-US" altLang="zh-CN"/>
            <a:t> </a:t>
          </a:r>
          <a:r>
            <a:rPr lang="en-US" altLang="zh-CN" b="1"/>
            <a:t>Search Partners</a:t>
          </a:r>
          <a:r>
            <a:rPr lang="en-US" altLang="zh-CN"/>
            <a:t> activity is exclusive to the </a:t>
          </a:r>
          <a:r>
            <a:rPr lang="en-US" altLang="zh-CN" b="1"/>
            <a:t>FY24 Brave ISA DE</a:t>
          </a:r>
          <a:r>
            <a:rPr lang="en-US" altLang="zh-CN"/>
            <a:t> campaign. The older FY23 campaigns ran solely on Google Search.</a:t>
          </a:r>
        </a:p>
        <a:p>
          <a:r>
            <a:rPr lang="en-US" altLang="zh-CN" b="1"/>
            <a:t>Volume Leader:</a:t>
          </a:r>
          <a:r>
            <a:rPr lang="en-US" altLang="zh-CN"/>
            <a:t> </a:t>
          </a:r>
          <a:r>
            <a:rPr lang="en-US" altLang="zh-CN" b="1"/>
            <a:t>Google Search</a:t>
          </a:r>
          <a:r>
            <a:rPr lang="en-US" altLang="zh-CN"/>
            <a:t> remains the primary driver, accounting for </a:t>
          </a:r>
          <a:r>
            <a:rPr lang="en-US" altLang="zh-CN" b="1"/>
            <a:t>93% of total clicks</a:t>
          </a:r>
          <a:r>
            <a:rPr lang="en-US" altLang="zh-CN"/>
            <a:t> (902) and </a:t>
          </a:r>
          <a:r>
            <a:rPr lang="en-US" altLang="zh-CN" b="1"/>
            <a:t>91% of conversions</a:t>
          </a:r>
          <a:r>
            <a:rPr lang="en-US" altLang="zh-CN"/>
            <a:t> (67) across all campaigns.</a:t>
          </a:r>
        </a:p>
        <a:p>
          <a:r>
            <a:rPr lang="en-US" altLang="zh-CN" b="1"/>
            <a:t>Efficiency Leader:</a:t>
          </a:r>
          <a:r>
            <a:rPr lang="en-US" altLang="zh-CN"/>
            <a:t> Within the FY24 campaign, </a:t>
          </a:r>
          <a:r>
            <a:rPr lang="en-US" altLang="zh-CN" b="1"/>
            <a:t>Search Partners</a:t>
          </a:r>
          <a:r>
            <a:rPr lang="en-US" altLang="zh-CN"/>
            <a:t> delivered traffic at a </a:t>
          </a:r>
          <a:r>
            <a:rPr lang="en-US" altLang="zh-CN" b="1"/>
            <a:t>CPA of $20.98</a:t>
          </a:r>
          <a:r>
            <a:rPr lang="en-US" altLang="zh-CN"/>
            <a:t>, which is significantly cheaper than the FY24 Google Search CPA of </a:t>
          </a:r>
          <a:r>
            <a:rPr lang="en-US" altLang="zh-CN" b="1"/>
            <a:t>$36.20</a:t>
          </a:r>
          <a:r>
            <a:rPr lang="en-US" altLang="zh-CN"/>
            <a:t>.</a:t>
          </a:r>
        </a:p>
        <a:p>
          <a:r>
            <a:rPr lang="en-US" altLang="zh-CN" b="1"/>
            <a:t>Conversion Quality:</a:t>
          </a:r>
          <a:r>
            <a:rPr lang="en-US" altLang="zh-CN"/>
            <a:t> Search Partners achieved a </a:t>
          </a:r>
          <a:r>
            <a:rPr lang="en-US" altLang="zh-CN" b="1"/>
            <a:t>9.23% Conversion Rate</a:t>
          </a:r>
          <a:r>
            <a:rPr lang="en-US" altLang="zh-CN"/>
            <a:t> for the FY24 campaign, outperforming the Google Search component of that same campaign (7.41%).</a:t>
          </a:r>
        </a:p>
        <a:p>
          <a:r>
            <a:rPr lang="en-US" altLang="zh-CN" b="1"/>
            <a:t>Insights:</a:t>
          </a:r>
        </a:p>
        <a:p>
          <a:r>
            <a:rPr lang="en-US" altLang="zh-CN" b="1"/>
            <a:t>FY24 Strategy Success:</a:t>
          </a:r>
          <a:r>
            <a:rPr lang="en-US" altLang="zh-CN"/>
            <a:t> The inclusion of Search Partners in the </a:t>
          </a:r>
          <a:r>
            <a:rPr lang="en-US" altLang="zh-CN" b="1"/>
            <a:t>FY24 Brave ISA DE</a:t>
          </a:r>
          <a:r>
            <a:rPr lang="en-US" altLang="zh-CN"/>
            <a:t> campaign appears to be a winning strategy. It provided incremental conversions (6 total) at the lowest cost in the entire account ($20.98).</a:t>
          </a:r>
        </a:p>
        <a:p>
          <a:r>
            <a:rPr lang="en-US" altLang="zh-CN" b="1"/>
            <a:t>Cost vs. Scale:</a:t>
          </a:r>
          <a:r>
            <a:rPr lang="en-US" altLang="zh-CN"/>
            <a:t> While Google Search provides the necessary scale (driving the bulk of volume), the Search Partner network is acting as a highly efficient "top-off" mechanism for the FY24 campaign, capturing lower-cost conversions that Google Search might have missed or charged more for.</a:t>
          </a:r>
        </a:p>
        <a:p>
          <a:r>
            <a:rPr lang="en-US" altLang="zh-CN" b="1"/>
            <a:t>CTR Variance:</a:t>
          </a:r>
          <a:r>
            <a:rPr lang="en-US" altLang="zh-CN"/>
            <a:t> The low CTR on Search Partners (0.29%) is expected and acceptable given that the traffic is extremely cheap and converts at a high rate (9.23%).</a:t>
          </a:r>
        </a:p>
        <a:p>
          <a:r>
            <a:rPr lang="en-US" altLang="zh-CN" b="1"/>
            <a:t>Recommendations:</a:t>
          </a:r>
        </a:p>
        <a:p>
          <a:r>
            <a:rPr lang="en-US" altLang="zh-CN" b="1"/>
            <a:t>Continue Search Partners for FY24:</a:t>
          </a:r>
          <a:r>
            <a:rPr lang="en-US" altLang="zh-CN"/>
            <a:t> Keep Search Partners enabled for the </a:t>
          </a:r>
          <a:r>
            <a:rPr lang="en-US" altLang="zh-CN" b="1"/>
            <a:t>FY24 Brave ISA DE</a:t>
          </a:r>
          <a:r>
            <a:rPr lang="en-US" altLang="zh-CN"/>
            <a:t> campaign. It is lowering the overall campaign average CPA without sacrificing conversion quality.</a:t>
          </a:r>
        </a:p>
        <a:p>
          <a:r>
            <a:rPr lang="en-US" altLang="zh-CN" b="1"/>
            <a:t>Monitor Quality:</a:t>
          </a:r>
          <a:r>
            <a:rPr lang="en-US" altLang="zh-CN"/>
            <a:t> Since Search Partners is only active on this one campaign, ensure the lead quality from these "partner" conversions matches the quality from Google Search leads. If the quality holds up, this proves Search Partners is a viable expansion channel for this specific program.</a:t>
          </a:r>
        </a:p>
        <a:p>
          <a:endParaRPr lang="zh-CN" altLang="en-US" sz="1100"/>
        </a:p>
      </xdr:txBody>
    </xdr:sp>
    <xdr:clientData/>
  </xdr:twoCellAnchor>
  <xdr:twoCellAnchor>
    <xdr:from>
      <xdr:col>0</xdr:col>
      <xdr:colOff>20053</xdr:colOff>
      <xdr:row>66</xdr:row>
      <xdr:rowOff>80211</xdr:rowOff>
    </xdr:from>
    <xdr:to>
      <xdr:col>8</xdr:col>
      <xdr:colOff>1353554</xdr:colOff>
      <xdr:row>77</xdr:row>
      <xdr:rowOff>100263</xdr:rowOff>
    </xdr:to>
    <xdr:sp macro="" textlink="">
      <xdr:nvSpPr>
        <xdr:cNvPr id="4" name="TextBox 3">
          <a:extLst>
            <a:ext uri="{FF2B5EF4-FFF2-40B4-BE49-F238E27FC236}">
              <a16:creationId xmlns:a16="http://schemas.microsoft.com/office/drawing/2014/main" id="{D9BA9B00-0C7C-49A3-B865-5461F7FF4512}"/>
            </a:ext>
          </a:extLst>
        </xdr:cNvPr>
        <xdr:cNvSpPr txBox="1"/>
      </xdr:nvSpPr>
      <xdr:spPr>
        <a:xfrm>
          <a:off x="20053" y="11450053"/>
          <a:ext cx="13304922" cy="1894973"/>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b="1"/>
            <a:t>Observations:</a:t>
          </a:r>
        </a:p>
        <a:p>
          <a:r>
            <a:rPr lang="en-US" altLang="zh-CN" b="1"/>
            <a:t>Mobile Phones:</a:t>
          </a:r>
          <a:r>
            <a:rPr lang="en-US" altLang="zh-CN"/>
            <a:t> This channel is the primary volume driver, accounting for </a:t>
          </a:r>
          <a:r>
            <a:rPr lang="en-US" altLang="zh-CN" b="1"/>
            <a:t>62% of total clicks</a:t>
          </a:r>
          <a:r>
            <a:rPr lang="en-US" altLang="zh-CN"/>
            <a:t> (599) and delivering the highest number of conversions (39). The </a:t>
          </a:r>
          <a:r>
            <a:rPr lang="en-US" altLang="zh-CN" b="1"/>
            <a:t>FY24 Generic</a:t>
          </a:r>
          <a:r>
            <a:rPr lang="en-US" altLang="zh-CN"/>
            <a:t> campaign on Mobile is particularly efficient, achieving the lowest CPA among major segments at </a:t>
          </a:r>
          <a:r>
            <a:rPr lang="en-US" altLang="zh-CN" b="1"/>
            <a:t>$30.61</a:t>
          </a:r>
          <a:r>
            <a:rPr lang="en-US" altLang="zh-CN"/>
            <a:t>.</a:t>
          </a:r>
        </a:p>
        <a:p>
          <a:r>
            <a:rPr lang="en-US" altLang="zh-CN" b="1"/>
            <a:t>Computers:</a:t>
          </a:r>
          <a:r>
            <a:rPr lang="en-US" altLang="zh-CN"/>
            <a:t> A strong secondary performer that prioritizes quality over quantity. While it has fewer clicks than mobile (358 vs 599), it converts at a significantly higher rate (</a:t>
          </a:r>
          <a:r>
            <a:rPr lang="en-US" altLang="zh-CN" b="1"/>
            <a:t>8.94%</a:t>
          </a:r>
          <a:r>
            <a:rPr lang="en-US" altLang="zh-CN"/>
            <a:t> vs 6.51%). The total CPA for computers ($47.36) remains competitive, driven by solid performance in the FY24 Generic campaign.</a:t>
          </a:r>
        </a:p>
        <a:p>
          <a:r>
            <a:rPr lang="en-US" altLang="zh-CN" b="1"/>
            <a:t>Tablets:</a:t>
          </a:r>
          <a:r>
            <a:rPr lang="en-US" altLang="zh-CN"/>
            <a:t> Volume is negligible (only 10 clicks total). While the stats appear excellent on paper (20% CVR, $13.84 CPA), this is based on only 2 conversions and is not statistically significant enough to drive strategy.</a:t>
          </a:r>
        </a:p>
        <a:p>
          <a:r>
            <a:rPr lang="en-US" altLang="zh-CN" b="1"/>
            <a:t>Recommendations:</a:t>
          </a:r>
        </a:p>
        <a:p>
          <a:r>
            <a:rPr lang="en-US" altLang="zh-CN" b="1"/>
            <a:t>Scale Mobile Efficiency:</a:t>
          </a:r>
          <a:r>
            <a:rPr lang="en-US" altLang="zh-CN"/>
            <a:t> The </a:t>
          </a:r>
          <a:r>
            <a:rPr lang="en-US" altLang="zh-CN" b="1"/>
            <a:t>FY24 Generic</a:t>
          </a:r>
          <a:r>
            <a:rPr lang="en-US" altLang="zh-CN"/>
            <a:t> campaign on Mobile is your "star performer" (CPA $30.61). Consider reallocating budget here to maximize low-cost conversions.</a:t>
          </a:r>
        </a:p>
        <a:p>
          <a:r>
            <a:rPr lang="en-US" altLang="zh-CN" b="1"/>
            <a:t>Maintain Computer Presence:</a:t>
          </a:r>
          <a:r>
            <a:rPr lang="en-US" altLang="zh-CN"/>
            <a:t> Do not pause Computers. Although the CPA is slightly higher, the superior Conversion Rate (8.94%) proves that computer users are high-intent and valuable.</a:t>
          </a:r>
        </a:p>
        <a:p>
          <a:r>
            <a:rPr lang="en-US" altLang="zh-CN" b="1"/>
            <a:t>Ignore Tablets:</a:t>
          </a:r>
          <a:r>
            <a:rPr lang="en-US" altLang="zh-CN"/>
            <a:t> Leave Tablets active as a passive capture method, but do not dedicate specific time or budget to optimizing them given the extremely low volume.</a:t>
          </a:r>
        </a:p>
        <a:p>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45720</xdr:colOff>
      <xdr:row>11</xdr:row>
      <xdr:rowOff>53340</xdr:rowOff>
    </xdr:from>
    <xdr:to>
      <xdr:col>8</xdr:col>
      <xdr:colOff>701040</xdr:colOff>
      <xdr:row>47</xdr:row>
      <xdr:rowOff>144780</xdr:rowOff>
    </xdr:to>
    <xdr:sp macro="" textlink="">
      <xdr:nvSpPr>
        <xdr:cNvPr id="2" name="TextBox 1">
          <a:extLst>
            <a:ext uri="{FF2B5EF4-FFF2-40B4-BE49-F238E27FC236}">
              <a16:creationId xmlns:a16="http://schemas.microsoft.com/office/drawing/2014/main" id="{8C846635-F21C-FA03-91D2-06CD0181FF35}"/>
            </a:ext>
          </a:extLst>
        </xdr:cNvPr>
        <xdr:cNvSpPr txBox="1"/>
      </xdr:nvSpPr>
      <xdr:spPr>
        <a:xfrm>
          <a:off x="45720" y="1981200"/>
          <a:ext cx="9090660" cy="640080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CN" b="1"/>
            <a:t>Observation:</a:t>
          </a:r>
        </a:p>
        <a:p>
          <a:r>
            <a:rPr lang="en-US" altLang="zh-CN" b="1"/>
            <a:t>Top-Performing Ad Group Themes</a:t>
          </a:r>
          <a:endParaRPr lang="en-US" altLang="zh-CN"/>
        </a:p>
        <a:p>
          <a:r>
            <a:rPr lang="en-US" altLang="zh-CN" b="1"/>
            <a:t>Mentorship:</a:t>
          </a:r>
          <a:r>
            <a:rPr lang="en-US" altLang="zh-CN"/>
            <a:t> Delivered the strongest efficiency with the </a:t>
          </a:r>
          <a:r>
            <a:rPr lang="en-US" altLang="zh-CN" b="1"/>
            <a:t>lowest CPA ($20.01)</a:t>
          </a:r>
          <a:r>
            <a:rPr lang="en-US" altLang="zh-CN"/>
            <a:t> and the </a:t>
          </a:r>
          <a:r>
            <a:rPr lang="en-US" altLang="zh-CN" b="1"/>
            <a:t>highest CVR (12.12%)</a:t>
          </a:r>
          <a:r>
            <a:rPr lang="en-US" altLang="zh-CN"/>
            <a:t>, indicating highly engaged traffic that converts cheaply.</a:t>
          </a:r>
        </a:p>
        <a:p>
          <a:r>
            <a:rPr lang="en-US" altLang="zh-CN" b="1"/>
            <a:t>Career:</a:t>
          </a:r>
          <a:r>
            <a:rPr lang="en-US" altLang="zh-CN"/>
            <a:t> Showed excellent balance, driving significant volume (13.33 conversions) at a highly efficient </a:t>
          </a:r>
          <a:r>
            <a:rPr lang="en-US" altLang="zh-CN" b="1"/>
            <a:t>$32.63 CPA</a:t>
          </a:r>
          <a:r>
            <a:rPr lang="en-US" altLang="zh-CN"/>
            <a:t>.</a:t>
          </a:r>
        </a:p>
        <a:p>
          <a:r>
            <a:rPr lang="en-US" altLang="zh-CN" b="1"/>
            <a:t>Training:</a:t>
          </a:r>
          <a:r>
            <a:rPr lang="en-US" altLang="zh-CN"/>
            <a:t> Acted as the account powerhouse, generating </a:t>
          </a:r>
          <a:r>
            <a:rPr lang="en-US" altLang="zh-CN" b="1"/>
            <a:t>71% of total conversions</a:t>
          </a:r>
          <a:r>
            <a:rPr lang="en-US" altLang="zh-CN"/>
            <a:t> (51.67) with a stable CPA of </a:t>
          </a:r>
          <a:r>
            <a:rPr lang="en-US" altLang="zh-CN" b="1"/>
            <a:t>$41.49</a:t>
          </a:r>
          <a:r>
            <a:rPr lang="en-US" altLang="zh-CN"/>
            <a:t>, proving it is the reliable core of your strategy.</a:t>
          </a:r>
        </a:p>
        <a:p>
          <a:r>
            <a:rPr lang="en-US" altLang="zh-CN" b="1"/>
            <a:t>Recommendations:</a:t>
          </a:r>
          <a:r>
            <a:rPr lang="en-US" altLang="zh-CN"/>
            <a:t> Scale Winning Themes. Increase budget for </a:t>
          </a:r>
          <a:r>
            <a:rPr lang="en-US" altLang="zh-CN" i="1"/>
            <a:t>Mentorship</a:t>
          </a:r>
          <a:r>
            <a:rPr lang="en-US" altLang="zh-CN"/>
            <a:t> and </a:t>
          </a:r>
          <a:r>
            <a:rPr lang="en-US" altLang="zh-CN" i="1"/>
            <a:t>Career</a:t>
          </a:r>
          <a:r>
            <a:rPr lang="en-US" altLang="zh-CN"/>
            <a:t> to maximize low-cost acquisitions. Leverage the high-intent keywords from these groups to expand the </a:t>
          </a:r>
          <a:r>
            <a:rPr lang="en-US" altLang="zh-CN" i="1"/>
            <a:t>Job Guarantee</a:t>
          </a:r>
          <a:r>
            <a:rPr lang="en-US" altLang="zh-CN"/>
            <a:t> theme, which shows similar promise.</a:t>
          </a:r>
        </a:p>
        <a:p>
          <a:r>
            <a:rPr lang="en-US" altLang="zh-CN" b="1"/>
            <a:t>Underperforming Ad Group Themes</a:t>
          </a:r>
          <a:endParaRPr lang="en-US" altLang="zh-CN"/>
        </a:p>
        <a:p>
          <a:r>
            <a:rPr lang="en-US" altLang="zh-CN" b="1"/>
            <a:t>Near me(location):</a:t>
          </a:r>
          <a:r>
            <a:rPr lang="en-US" altLang="zh-CN"/>
            <a:t> Showed the weakest performance with </a:t>
          </a:r>
          <a:r>
            <a:rPr lang="en-US" altLang="zh-CN" b="1"/>
            <a:t>0 conversions</a:t>
          </a:r>
          <a:r>
            <a:rPr lang="en-US" altLang="zh-CN"/>
            <a:t> despite having a high CTR (6.25%), resulting in </a:t>
          </a:r>
          <a:r>
            <a:rPr lang="en-US" altLang="zh-CN" b="1"/>
            <a:t>$156.30</a:t>
          </a:r>
          <a:r>
            <a:rPr lang="en-US" altLang="zh-CN"/>
            <a:t> of wasted spend—signaling a major disconnect between user intent and the landing page.</a:t>
          </a:r>
        </a:p>
        <a:p>
          <a:r>
            <a:rPr lang="en-US" altLang="zh-CN" b="1"/>
            <a:t>DA Bootcamp:</a:t>
          </a:r>
          <a:r>
            <a:rPr lang="en-US" altLang="zh-CN"/>
            <a:t> Followed with poor efficiency, delivering only 1 conversion at a massive </a:t>
          </a:r>
          <a:r>
            <a:rPr lang="en-US" altLang="zh-CN" b="1"/>
            <a:t>$196.57 CPA</a:t>
          </a:r>
          <a:r>
            <a:rPr lang="en-US" altLang="zh-CN"/>
            <a:t> (nearly 5x the account average).</a:t>
          </a:r>
        </a:p>
        <a:p>
          <a:r>
            <a:rPr lang="en-US" altLang="zh-CN" b="1"/>
            <a:t>BA Bootcamp:</a:t>
          </a:r>
          <a:r>
            <a:rPr lang="en-US" altLang="zh-CN"/>
            <a:t> Ranked third in underperformance with a high </a:t>
          </a:r>
          <a:r>
            <a:rPr lang="en-US" altLang="zh-CN" b="1"/>
            <a:t>$81.74 CPA</a:t>
          </a:r>
          <a:r>
            <a:rPr lang="en-US" altLang="zh-CN"/>
            <a:t> and below-average conversion volume.</a:t>
          </a:r>
        </a:p>
        <a:p>
          <a:r>
            <a:rPr lang="en-US" altLang="zh-CN" b="1"/>
            <a:t>Recommendations:</a:t>
          </a:r>
          <a:r>
            <a:rPr lang="en-US" altLang="zh-CN"/>
            <a:t> Reassess or Restructure Poor Performers. Immediately pause </a:t>
          </a:r>
          <a:r>
            <a:rPr lang="en-US" altLang="zh-CN" i="1"/>
            <a:t>Near me</a:t>
          </a:r>
          <a:r>
            <a:rPr lang="en-US" altLang="zh-CN"/>
            <a:t> and </a:t>
          </a:r>
          <a:r>
            <a:rPr lang="en-US" altLang="zh-CN" i="1"/>
            <a:t>DA Bootcamp</a:t>
          </a:r>
          <a:r>
            <a:rPr lang="en-US" altLang="zh-CN"/>
            <a:t> to stop budget waste.</a:t>
          </a:r>
        </a:p>
        <a:p>
          <a:br>
            <a:rPr lang="en-US" altLang="zh-CN"/>
          </a:br>
          <a:endParaRPr lang="en-US" altLang="zh-CN"/>
        </a:p>
        <a:p>
          <a:r>
            <a:rPr lang="en-US" altLang="zh-CN" b="1"/>
            <a:t>Insights:</a:t>
          </a:r>
        </a:p>
        <a:p>
          <a:r>
            <a:rPr lang="en-US" altLang="zh-CN" b="1"/>
            <a:t>1. Mentorship &amp; Career show outstanding product-market fit.</a:t>
          </a:r>
          <a:endParaRPr lang="en-US" altLang="zh-CN"/>
        </a:p>
        <a:p>
          <a:r>
            <a:rPr lang="en-US" altLang="zh-CN"/>
            <a:t>High conversion rates (8-12%) combined with low CPAs suggest these users are solution-aware and ready to act. The messaging here is resonating perfectly.</a:t>
          </a:r>
        </a:p>
        <a:p>
          <a:r>
            <a:rPr lang="en-US" altLang="zh-CN" b="1"/>
            <a:t>2. Training provides the necessary scale but requires monitoring.</a:t>
          </a:r>
          <a:endParaRPr lang="en-US" altLang="zh-CN"/>
        </a:p>
        <a:p>
          <a:r>
            <a:rPr lang="en-US" altLang="zh-CN"/>
            <a:t>While it drives the bulk of volume, its CPA ($41.49) is higher than the niche themes. It serves as the "net" that catches the majority of traffic, even if slightly less efficient than the stars.</a:t>
          </a:r>
        </a:p>
        <a:p>
          <a:r>
            <a:rPr lang="en-US" altLang="zh-CN" b="1"/>
            <a:t>3. "Near Me" is a classic 'Click Trap'.</a:t>
          </a:r>
          <a:endParaRPr lang="en-US" altLang="zh-CN"/>
        </a:p>
        <a:p>
          <a:r>
            <a:rPr lang="en-US" altLang="zh-CN"/>
            <a:t>Users are clicking frequently (6.25% CTR), likely expecting a local physical office. When they find an online program instead, they bounce immediately (0 conversions). This geographic mismatch is draining budget without return.</a:t>
          </a:r>
        </a:p>
        <a:p>
          <a:r>
            <a:rPr lang="en-US" altLang="zh-CN" b="1"/>
            <a:t>4. Bootcamp terms are struggling to convert.</a:t>
          </a:r>
          <a:endParaRPr lang="en-US" altLang="zh-CN"/>
        </a:p>
        <a:p>
          <a:r>
            <a:rPr lang="en-US" altLang="zh-CN"/>
            <a:t>Both </a:t>
          </a:r>
          <a:r>
            <a:rPr lang="en-US" altLang="zh-CN" i="1"/>
            <a:t>DA Bootcamp</a:t>
          </a:r>
          <a:r>
            <a:rPr lang="en-US" altLang="zh-CN"/>
            <a:t> and </a:t>
          </a:r>
          <a:r>
            <a:rPr lang="en-US" altLang="zh-CN" i="1"/>
            <a:t>BA Bootcamp</a:t>
          </a:r>
          <a:r>
            <a:rPr lang="en-US" altLang="zh-CN"/>
            <a:t> have high CPAs ($196 and $81). This suggests that "Bootcamp" searchers might be price-sensitive or earlier in their research phase compared to "Career" or "Mentorship" seekers.</a:t>
          </a:r>
        </a:p>
        <a:p>
          <a:br>
            <a:rPr lang="en-US" altLang="zh-CN"/>
          </a:br>
          <a:endParaRPr lang="en-US" altLang="zh-CN"/>
        </a:p>
        <a:p>
          <a:r>
            <a:rPr lang="en-US" altLang="zh-CN" b="1"/>
            <a:t>Recommendations:</a:t>
          </a:r>
        </a:p>
        <a:p>
          <a:r>
            <a:rPr lang="en-US" altLang="zh-CN" b="1"/>
            <a:t>1. Scale up performers</a:t>
          </a:r>
          <a:r>
            <a:rPr lang="en-US" altLang="zh-CN"/>
            <a:t> by shifting budget from paused campaigns into </a:t>
          </a:r>
          <a:r>
            <a:rPr lang="en-US" altLang="zh-CN" i="1"/>
            <a:t>Mentorship</a:t>
          </a:r>
          <a:r>
            <a:rPr lang="en-US" altLang="zh-CN"/>
            <a:t> and </a:t>
          </a:r>
          <a:r>
            <a:rPr lang="en-US" altLang="zh-CN" i="1"/>
            <a:t>Career</a:t>
          </a:r>
          <a:r>
            <a:rPr lang="en-US" altLang="zh-CN"/>
            <a:t>. These themes have proven they can convert traffic at half the cost of the account average.</a:t>
          </a:r>
        </a:p>
        <a:p>
          <a:r>
            <a:rPr lang="en-US" altLang="zh-CN" b="1"/>
            <a:t>2. Pause "Near Me" and "DA Bootcamp"</a:t>
          </a:r>
          <a:r>
            <a:rPr lang="en-US" altLang="zh-CN"/>
            <a:t> immediately. Re-evaluate the landing page experience for "Bootcamp" terms before re-launching them, as the current offer is not compelling to that specific audience.</a:t>
          </a:r>
        </a:p>
        <a:p>
          <a:endParaRPr lang="zh-CN"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107108</xdr:colOff>
      <xdr:row>4</xdr:row>
      <xdr:rowOff>135554</xdr:rowOff>
    </xdr:from>
    <xdr:to>
      <xdr:col>19</xdr:col>
      <xdr:colOff>408983</xdr:colOff>
      <xdr:row>70</xdr:row>
      <xdr:rowOff>169333</xdr:rowOff>
    </xdr:to>
    <xdr:sp macro="" textlink="">
      <xdr:nvSpPr>
        <xdr:cNvPr id="2" name="文本框 1">
          <a:extLst>
            <a:ext uri="{FF2B5EF4-FFF2-40B4-BE49-F238E27FC236}">
              <a16:creationId xmlns:a16="http://schemas.microsoft.com/office/drawing/2014/main" id="{4C4ABB07-F278-B99B-CFD4-A523898F6B76}"/>
            </a:ext>
          </a:extLst>
        </xdr:cNvPr>
        <xdr:cNvSpPr txBox="1"/>
      </xdr:nvSpPr>
      <xdr:spPr>
        <a:xfrm>
          <a:off x="11769941" y="897554"/>
          <a:ext cx="12049375" cy="12606779"/>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ltLang="zh-CN" sz="1200" b="1"/>
            <a:t>Filter: Impression</a:t>
          </a:r>
          <a:r>
            <a:rPr lang="en-CA" altLang="zh-CN" sz="1200" b="1" baseline="0"/>
            <a:t> &gt; 10</a:t>
          </a:r>
        </a:p>
        <a:p>
          <a:endParaRPr lang="en-CA" altLang="zh-CN" sz="1200" b="1"/>
        </a:p>
        <a:p>
          <a:r>
            <a:rPr lang="en-CA" altLang="zh-CN" sz="1200" b="1"/>
            <a:t>Keyword Level: Observations, Insights, and Recommendations</a:t>
          </a:r>
        </a:p>
        <a:p>
          <a:r>
            <a:rPr lang="en-CA" altLang="zh-CN" sz="1200" b="1"/>
            <a:t>Executive Summary</a:t>
          </a:r>
        </a:p>
        <a:p>
          <a:r>
            <a:rPr lang="en-CA" altLang="zh-CN" sz="1200" b="1"/>
            <a:t>Performance:</a:t>
          </a:r>
          <a:r>
            <a:rPr lang="en-CA" altLang="zh-CN" sz="1200"/>
            <a:t> The </a:t>
          </a:r>
          <a:r>
            <a:rPr lang="en-CA" altLang="zh-CN" sz="1200" b="1"/>
            <a:t>FY24 DE Program</a:t>
          </a:r>
          <a:r>
            <a:rPr lang="en-CA" altLang="zh-CN" sz="1200"/>
            <a:t> is the most efficient campaign with a </a:t>
          </a:r>
          <a:r>
            <a:rPr lang="en-CA" altLang="zh-CN" sz="1200" b="1"/>
            <a:t>$33.43 CPA</a:t>
          </a:r>
          <a:r>
            <a:rPr lang="en-CA" altLang="zh-CN" sz="1200"/>
            <a:t> and </a:t>
          </a:r>
          <a:r>
            <a:rPr lang="en-CA" altLang="zh-CN" sz="1200" b="1"/>
            <a:t>7.71% CVR</a:t>
          </a:r>
          <a:r>
            <a:rPr lang="en-CA" altLang="zh-CN" sz="1200"/>
            <a:t>. The </a:t>
          </a:r>
          <a:r>
            <a:rPr lang="en-CA" altLang="zh-CN" sz="1200" b="1"/>
            <a:t>FY23 DA Program</a:t>
          </a:r>
          <a:r>
            <a:rPr lang="en-CA" altLang="zh-CN" sz="1200"/>
            <a:t> drives the most volume (30 conversions) but operates at a significantly higher </a:t>
          </a:r>
          <a:r>
            <a:rPr lang="en-CA" altLang="zh-CN" sz="1200" b="1"/>
            <a:t>$54.70 CPA</a:t>
          </a:r>
          <a:r>
            <a:rPr lang="en-CA" altLang="zh-CN" sz="1200"/>
            <a:t>.</a:t>
          </a:r>
        </a:p>
        <a:p>
          <a:r>
            <a:rPr lang="en-CA" altLang="zh-CN" sz="1200" b="1"/>
            <a:t>Constraint:</a:t>
          </a:r>
          <a:r>
            <a:rPr lang="en-CA" altLang="zh-CN" sz="1200"/>
            <a:t> Budget is currently weighted toward the inefficient FY23 DA campaign ($1,641 spend) rather than the high-performing FY24 DE campaign ($1,203 spend).</a:t>
          </a:r>
        </a:p>
        <a:p>
          <a:r>
            <a:rPr lang="en-CA" altLang="zh-CN" sz="1200" b="1"/>
            <a:t>Key Action:</a:t>
          </a:r>
          <a:r>
            <a:rPr lang="en-CA" altLang="zh-CN" sz="1200"/>
            <a:t> Immediate budget reallocation is required to capitalize on FY24 DE efficiency, alongside negative keyword implementation to reduce waste in FY23 DA.</a:t>
          </a:r>
        </a:p>
        <a:p>
          <a:br>
            <a:rPr lang="en-CA" altLang="zh-CN" sz="1200"/>
          </a:br>
          <a:endParaRPr lang="en-CA" altLang="zh-CN" sz="1200"/>
        </a:p>
        <a:p>
          <a:r>
            <a:rPr lang="en-CA" altLang="zh-CN" sz="1200" b="1"/>
            <a:t>1. FY24_Brave_ISA_DE Program (Data Engineering)</a:t>
          </a:r>
        </a:p>
        <a:p>
          <a:r>
            <a:rPr lang="en-CA" altLang="zh-CN" sz="1200" b="1"/>
            <a:t>Performance Summary</a:t>
          </a:r>
          <a:endParaRPr lang="en-CA" altLang="zh-CN" sz="1200"/>
        </a:p>
        <a:p>
          <a:r>
            <a:rPr lang="en-CA" altLang="zh-CN" sz="1200" b="1"/>
            <a:t>Spend:</a:t>
          </a:r>
          <a:r>
            <a:rPr lang="en-CA" altLang="zh-CN" sz="1200"/>
            <a:t> $1,203</a:t>
          </a:r>
        </a:p>
        <a:p>
          <a:r>
            <a:rPr lang="en-CA" altLang="zh-CN" sz="1200" b="1"/>
            <a:t>CPA:</a:t>
          </a:r>
          <a:r>
            <a:rPr lang="en-CA" altLang="zh-CN" sz="1200"/>
            <a:t> $33.43 (Best in Account)</a:t>
          </a:r>
        </a:p>
        <a:p>
          <a:r>
            <a:rPr lang="en-CA" altLang="zh-CN" sz="1200" b="1"/>
            <a:t>CVR:</a:t>
          </a:r>
          <a:r>
            <a:rPr lang="en-CA" altLang="zh-CN" sz="1200"/>
            <a:t> 7.71%</a:t>
          </a:r>
        </a:p>
        <a:p>
          <a:r>
            <a:rPr lang="en-CA" altLang="zh-CN" sz="1200" b="1"/>
            <a:t>CTR:</a:t>
          </a:r>
          <a:r>
            <a:rPr lang="en-CA" altLang="zh-CN" sz="1200"/>
            <a:t> 2.32%</a:t>
          </a:r>
        </a:p>
        <a:p>
          <a:r>
            <a:rPr lang="en-CA" altLang="zh-CN" sz="1200" b="1"/>
            <a:t>Observations</a:t>
          </a:r>
          <a:endParaRPr lang="en-CA" altLang="zh-CN" sz="1200"/>
        </a:p>
        <a:p>
          <a:r>
            <a:rPr lang="en-CA" altLang="zh-CN" sz="1200"/>
            <a:t>Exact and Phrase match keywords are driving exceptional efficiency.</a:t>
          </a:r>
        </a:p>
        <a:p>
          <a:pPr lvl="1"/>
          <a:r>
            <a:rPr lang="en-CA" altLang="zh-CN" sz="1200">
              <a:solidFill>
                <a:schemeClr val="dk1"/>
              </a:solidFill>
              <a:latin typeface="+mn-lt"/>
              <a:ea typeface="+mn-ea"/>
              <a:cs typeface="+mn-cs"/>
            </a:rPr>
            <a:t>[big data training courses]</a:t>
          </a:r>
          <a:r>
            <a:rPr lang="en-CA" altLang="zh-CN" sz="1200"/>
            <a:t>: </a:t>
          </a:r>
          <a:r>
            <a:rPr lang="en-CA" altLang="zh-CN" sz="1200" b="1"/>
            <a:t>$1.83 CPA</a:t>
          </a:r>
          <a:r>
            <a:rPr lang="en-CA" altLang="zh-CN" sz="1200"/>
            <a:t> (100% CVR).</a:t>
          </a:r>
        </a:p>
        <a:p>
          <a:pPr lvl="1"/>
          <a:r>
            <a:rPr lang="en-CA" altLang="zh-CN" sz="1200">
              <a:solidFill>
                <a:schemeClr val="dk1"/>
              </a:solidFill>
              <a:latin typeface="+mn-lt"/>
              <a:ea typeface="+mn-ea"/>
              <a:cs typeface="+mn-cs"/>
            </a:rPr>
            <a:t>"get into data engineering"</a:t>
          </a:r>
          <a:r>
            <a:rPr lang="en-CA" altLang="zh-CN" sz="1200"/>
            <a:t>: </a:t>
          </a:r>
          <a:r>
            <a:rPr lang="en-CA" altLang="zh-CN" sz="1200" b="1"/>
            <a:t>$19.98 CPA</a:t>
          </a:r>
          <a:r>
            <a:rPr lang="en-CA" altLang="zh-CN" sz="1200"/>
            <a:t> (7 conversions).</a:t>
          </a:r>
        </a:p>
        <a:p>
          <a:r>
            <a:rPr lang="en-CA" altLang="zh-CN" sz="1200"/>
            <a:t>Broad match </a:t>
          </a:r>
          <a:r>
            <a:rPr lang="en-CA" altLang="zh-CN" sz="1200">
              <a:solidFill>
                <a:schemeClr val="dk1"/>
              </a:solidFill>
              <a:latin typeface="+mn-lt"/>
              <a:ea typeface="+mn-ea"/>
              <a:cs typeface="+mn-cs"/>
            </a:rPr>
            <a:t>online data engineering courses</a:t>
          </a:r>
          <a:r>
            <a:rPr lang="en-CA" altLang="zh-CN" sz="1200"/>
            <a:t> accounts for </a:t>
          </a:r>
          <a:r>
            <a:rPr lang="en-CA" altLang="zh-CN" sz="1200" b="1"/>
            <a:t>30% of campaign spend</a:t>
          </a:r>
          <a:r>
            <a:rPr lang="en-CA" altLang="zh-CN" sz="1200"/>
            <a:t> ($360) with a </a:t>
          </a:r>
          <a:r>
            <a:rPr lang="en-CA" altLang="zh-CN" sz="1200" b="1"/>
            <a:t>$46.93 CPA</a:t>
          </a:r>
          <a:r>
            <a:rPr lang="en-CA" altLang="zh-CN" sz="1200"/>
            <a:t>, which is 40% higher than the campaign average.</a:t>
          </a:r>
        </a:p>
        <a:p>
          <a:r>
            <a:rPr lang="en-CA" altLang="zh-CN" sz="1200" b="1"/>
            <a:t>Insights</a:t>
          </a:r>
          <a:endParaRPr lang="en-CA" altLang="zh-CN" sz="1200"/>
        </a:p>
        <a:p>
          <a:r>
            <a:rPr lang="en-CA" altLang="zh-CN" sz="1200" b="1"/>
            <a:t>Driver:</a:t>
          </a:r>
          <a:r>
            <a:rPr lang="en-CA" altLang="zh-CN" sz="1200"/>
            <a:t> High-intent phrases containing "coaching," "mentors," and "get into" indicate users looking for career mentorship rather than generic coursework, aligning perfectly with the ISA model.</a:t>
          </a:r>
        </a:p>
        <a:p>
          <a:r>
            <a:rPr lang="en-CA" altLang="zh-CN" sz="1200" b="1"/>
            <a:t>Constraint:</a:t>
          </a:r>
          <a:r>
            <a:rPr lang="en-CA" altLang="zh-CN" sz="1200"/>
            <a:t> The campaign’s overall CVR is being diluted by generic broad match terms that capture lower-intent traffic.</a:t>
          </a:r>
        </a:p>
        <a:p>
          <a:r>
            <a:rPr lang="en-CA" altLang="zh-CN" sz="1200" b="1"/>
            <a:t>Next Actions</a:t>
          </a:r>
          <a:endParaRPr lang="en-CA" altLang="zh-CN" sz="1200"/>
        </a:p>
        <a:p>
          <a:r>
            <a:rPr lang="en-CA" altLang="zh-CN" sz="1200" b="1"/>
            <a:t>Scale:</a:t>
          </a:r>
          <a:r>
            <a:rPr lang="en-CA" altLang="zh-CN" sz="1200"/>
            <a:t> Increase daily budget by 20% to maximize impression share on high-performing exact/phrase terms.</a:t>
          </a:r>
        </a:p>
        <a:p>
          <a:r>
            <a:rPr lang="en-CA" altLang="zh-CN" sz="1200" b="1"/>
            <a:t>Optimize:</a:t>
          </a:r>
          <a:r>
            <a:rPr lang="en-CA" altLang="zh-CN" sz="1200"/>
            <a:t> Add </a:t>
          </a:r>
          <a:r>
            <a:rPr lang="en-CA" altLang="zh-CN" sz="1200">
              <a:solidFill>
                <a:schemeClr val="dk1"/>
              </a:solidFill>
              <a:latin typeface="+mn-lt"/>
              <a:ea typeface="+mn-ea"/>
              <a:cs typeface="+mn-cs"/>
            </a:rPr>
            <a:t>[big data training courses]</a:t>
          </a:r>
          <a:r>
            <a:rPr lang="en-CA" altLang="zh-CN" sz="1200"/>
            <a:t> and </a:t>
          </a:r>
          <a:r>
            <a:rPr lang="en-CA" altLang="zh-CN" sz="1200">
              <a:solidFill>
                <a:schemeClr val="dk1"/>
              </a:solidFill>
              <a:latin typeface="+mn-lt"/>
              <a:ea typeface="+mn-ea"/>
              <a:cs typeface="+mn-cs"/>
            </a:rPr>
            <a:t>"get into data engineering"</a:t>
          </a:r>
          <a:r>
            <a:rPr lang="en-CA" altLang="zh-CN" sz="1200"/>
            <a:t> as Exact Match keywords to their own ad group to control bids.</a:t>
          </a:r>
        </a:p>
        <a:p>
          <a:r>
            <a:rPr lang="en-CA" altLang="zh-CN" sz="1200" b="1"/>
            <a:t>Monitor:</a:t>
          </a:r>
          <a:r>
            <a:rPr lang="en-CA" altLang="zh-CN" sz="1200"/>
            <a:t> Watch the Impression Share on the new Exact Match ad group; ensure it is not limited by budget.</a:t>
          </a:r>
        </a:p>
        <a:p>
          <a:br>
            <a:rPr lang="en-CA" altLang="zh-CN" sz="1200"/>
          </a:br>
          <a:endParaRPr lang="en-CA" altLang="zh-CN" sz="1200"/>
        </a:p>
        <a:p>
          <a:r>
            <a:rPr lang="en-CA" altLang="zh-CN" sz="1200" b="1"/>
            <a:t>2. FY23_Brave_ISA_DA Program (Data Analytics)</a:t>
          </a:r>
        </a:p>
        <a:p>
          <a:r>
            <a:rPr lang="en-CA" altLang="zh-CN" sz="1200" b="1"/>
            <a:t>Performance Summary</a:t>
          </a:r>
          <a:endParaRPr lang="en-CA" altLang="zh-CN" sz="1200"/>
        </a:p>
        <a:p>
          <a:r>
            <a:rPr lang="en-CA" altLang="zh-CN" sz="1200" b="1"/>
            <a:t>Spend:</a:t>
          </a:r>
          <a:r>
            <a:rPr lang="en-CA" altLang="zh-CN" sz="1200"/>
            <a:t> $1,641 (Highest Spend)</a:t>
          </a:r>
        </a:p>
        <a:p>
          <a:r>
            <a:rPr lang="en-CA" altLang="zh-CN" sz="1200" b="1"/>
            <a:t>CPA:</a:t>
          </a:r>
          <a:r>
            <a:rPr lang="en-CA" altLang="zh-CN" sz="1200"/>
            <a:t> $54.70</a:t>
          </a:r>
        </a:p>
        <a:p>
          <a:r>
            <a:rPr lang="en-CA" altLang="zh-CN" sz="1200" b="1"/>
            <a:t>CVR:</a:t>
          </a:r>
          <a:r>
            <a:rPr lang="en-CA" altLang="zh-CN" sz="1200"/>
            <a:t> 7.85%</a:t>
          </a:r>
        </a:p>
        <a:p>
          <a:r>
            <a:rPr lang="en-CA" altLang="zh-CN" sz="1200" b="1"/>
            <a:t>CTR:</a:t>
          </a:r>
          <a:r>
            <a:rPr lang="en-CA" altLang="zh-CN" sz="1200"/>
            <a:t> 4.24%</a:t>
          </a:r>
        </a:p>
        <a:p>
          <a:r>
            <a:rPr lang="en-CA" altLang="zh-CN" sz="1200" b="1"/>
            <a:t>Observations</a:t>
          </a:r>
          <a:endParaRPr lang="en-CA" altLang="zh-CN" sz="1200"/>
        </a:p>
        <a:p>
          <a:r>
            <a:rPr lang="en-CA" altLang="zh-CN" sz="1200" b="1"/>
            <a:t>Bleeder:</a:t>
          </a:r>
          <a:r>
            <a:rPr lang="en-CA" altLang="zh-CN" sz="1200"/>
            <a:t> The broad match keyword </a:t>
          </a:r>
          <a:r>
            <a:rPr lang="en-CA" altLang="zh-CN" sz="1200">
              <a:solidFill>
                <a:schemeClr val="dk1"/>
              </a:solidFill>
              <a:latin typeface="+mn-lt"/>
              <a:ea typeface="+mn-ea"/>
              <a:cs typeface="+mn-cs"/>
            </a:rPr>
            <a:t>data analytics training</a:t>
          </a:r>
          <a:r>
            <a:rPr lang="en-CA" altLang="zh-CN" sz="1200"/>
            <a:t> spent </a:t>
          </a:r>
          <a:r>
            <a:rPr lang="en-CA" altLang="zh-CN" sz="1200" b="1"/>
            <a:t>$319</a:t>
          </a:r>
          <a:r>
            <a:rPr lang="en-CA" altLang="zh-CN" sz="1200"/>
            <a:t> (19% of total budget) for only 3 conversions, resulting in a </a:t>
          </a:r>
          <a:r>
            <a:rPr lang="en-CA" altLang="zh-CN" sz="1200" b="1"/>
            <a:t>$106.40 CPA</a:t>
          </a:r>
          <a:r>
            <a:rPr lang="en-CA" altLang="zh-CN" sz="1200"/>
            <a:t>.</a:t>
          </a:r>
        </a:p>
        <a:p>
          <a:r>
            <a:rPr lang="en-CA" altLang="zh-CN" sz="1200" b="1"/>
            <a:t>Winner:</a:t>
          </a:r>
          <a:r>
            <a:rPr lang="en-CA" altLang="zh-CN" sz="1200"/>
            <a:t> </a:t>
          </a:r>
          <a:r>
            <a:rPr lang="en-CA" altLang="zh-CN" sz="1200">
              <a:solidFill>
                <a:schemeClr val="dk1"/>
              </a:solidFill>
              <a:latin typeface="+mn-lt"/>
              <a:ea typeface="+mn-ea"/>
              <a:cs typeface="+mn-cs"/>
            </a:rPr>
            <a:t>data analyst online training</a:t>
          </a:r>
          <a:r>
            <a:rPr lang="en-CA" altLang="zh-CN" sz="1200"/>
            <a:t> generated 8 conversions at a </a:t>
          </a:r>
          <a:r>
            <a:rPr lang="en-CA" altLang="zh-CN" sz="1200" b="1"/>
            <a:t>$5.66 CPA</a:t>
          </a:r>
          <a:r>
            <a:rPr lang="en-CA" altLang="zh-CN" sz="1200"/>
            <a:t>.</a:t>
          </a:r>
        </a:p>
        <a:p>
          <a:r>
            <a:rPr lang="en-CA" altLang="zh-CN" sz="1200" b="1"/>
            <a:t>Location Intent:</a:t>
          </a:r>
          <a:r>
            <a:rPr lang="en-CA" altLang="zh-CN" sz="1200"/>
            <a:t> </a:t>
          </a:r>
          <a:r>
            <a:rPr lang="en-CA" altLang="zh-CN" sz="1200">
              <a:solidFill>
                <a:schemeClr val="dk1"/>
              </a:solidFill>
              <a:latin typeface="+mn-lt"/>
              <a:ea typeface="+mn-ea"/>
              <a:cs typeface="+mn-cs"/>
            </a:rPr>
            <a:t>data analyst bootcamp near me</a:t>
          </a:r>
          <a:r>
            <a:rPr lang="en-CA" altLang="zh-CN" sz="1200"/>
            <a:t> spent </a:t>
          </a:r>
          <a:r>
            <a:rPr lang="en-CA" altLang="zh-CN" sz="1200" b="1"/>
            <a:t>$101.48</a:t>
          </a:r>
          <a:r>
            <a:rPr lang="en-CA" altLang="zh-CN" sz="1200"/>
            <a:t> with </a:t>
          </a:r>
          <a:r>
            <a:rPr lang="en-CA" altLang="zh-CN" sz="1200" b="1"/>
            <a:t>0 conversions</a:t>
          </a:r>
          <a:r>
            <a:rPr lang="en-CA" altLang="zh-CN" sz="1200"/>
            <a:t>.</a:t>
          </a:r>
        </a:p>
        <a:p>
          <a:r>
            <a:rPr lang="en-CA" altLang="zh-CN" sz="1200" b="1"/>
            <a:t>Insights</a:t>
          </a:r>
          <a:endParaRPr lang="en-CA" altLang="zh-CN" sz="1200"/>
        </a:p>
        <a:p>
          <a:r>
            <a:rPr lang="en-CA" altLang="zh-CN" sz="1200" b="1"/>
            <a:t>Inefficiency:</a:t>
          </a:r>
          <a:r>
            <a:rPr lang="en-CA" altLang="zh-CN" sz="1200"/>
            <a:t> The high CPA is driven by generic "training" queries which likely capture students or free-seekers.</a:t>
          </a:r>
        </a:p>
        <a:p>
          <a:r>
            <a:rPr lang="en-CA" altLang="zh-CN" sz="1200" b="1"/>
            <a:t>Local Mismatch:</a:t>
          </a:r>
          <a:r>
            <a:rPr lang="en-CA" altLang="zh-CN" sz="1200"/>
            <a:t> Users searching "near me" are looking for physical, in-person classes, resulting in wasted spend when they realize the program is online/remote.</a:t>
          </a:r>
        </a:p>
        <a:p>
          <a:r>
            <a:rPr lang="en-CA" altLang="zh-CN" sz="1200" b="1"/>
            <a:t>Valuable Syntax:</a:t>
          </a:r>
          <a:r>
            <a:rPr lang="en-CA" altLang="zh-CN" sz="1200"/>
            <a:t> Adding "online" or "placement" to the search query drastically improves conversion rates (CVR jumped to 14%+ for these terms).</a:t>
          </a:r>
        </a:p>
        <a:p>
          <a:r>
            <a:rPr lang="en-CA" altLang="zh-CN" sz="1200" b="1"/>
            <a:t>Next Actions</a:t>
          </a:r>
          <a:endParaRPr lang="en-CA" altLang="zh-CN" sz="1200"/>
        </a:p>
        <a:p>
          <a:r>
            <a:rPr lang="en-CA" altLang="zh-CN" sz="1200" b="1"/>
            <a:t>Pause:</a:t>
          </a:r>
          <a:r>
            <a:rPr lang="en-CA" altLang="zh-CN" sz="1200"/>
            <a:t> </a:t>
          </a:r>
          <a:r>
            <a:rPr lang="en-CA" altLang="zh-CN" sz="1200">
              <a:solidFill>
                <a:schemeClr val="dk1"/>
              </a:solidFill>
              <a:latin typeface="+mn-lt"/>
              <a:ea typeface="+mn-ea"/>
              <a:cs typeface="+mn-cs"/>
            </a:rPr>
            <a:t>data analytics training</a:t>
          </a:r>
          <a:r>
            <a:rPr lang="en-CA" altLang="zh-CN" sz="1200"/>
            <a:t> (Broad Match). This will immediately save ~20% of the budget.</a:t>
          </a:r>
        </a:p>
        <a:p>
          <a:r>
            <a:rPr lang="en-CA" altLang="zh-CN" sz="1200" b="1"/>
            <a:t>Negative Keywords:</a:t>
          </a:r>
          <a:r>
            <a:rPr lang="en-CA" altLang="zh-CN" sz="1200"/>
            <a:t> Add "near me" as a campaign-level negative keyword.</a:t>
          </a:r>
        </a:p>
        <a:p>
          <a:r>
            <a:rPr lang="en-CA" altLang="zh-CN" sz="1200" b="1"/>
            <a:t>Expand:</a:t>
          </a:r>
          <a:r>
            <a:rPr lang="en-CA" altLang="zh-CN" sz="1200"/>
            <a:t> Add </a:t>
          </a:r>
          <a:r>
            <a:rPr lang="en-CA" altLang="zh-CN" sz="1200">
              <a:solidFill>
                <a:schemeClr val="dk1"/>
              </a:solidFill>
              <a:latin typeface="+mn-lt"/>
              <a:ea typeface="+mn-ea"/>
              <a:cs typeface="+mn-cs"/>
            </a:rPr>
            <a:t>"data analyst online training"</a:t>
          </a:r>
          <a:r>
            <a:rPr lang="en-CA" altLang="zh-CN" sz="1200"/>
            <a:t> and </a:t>
          </a:r>
          <a:r>
            <a:rPr lang="en-CA" altLang="zh-CN" sz="1200">
              <a:solidFill>
                <a:schemeClr val="dk1"/>
              </a:solidFill>
              <a:latin typeface="+mn-lt"/>
              <a:ea typeface="+mn-ea"/>
              <a:cs typeface="+mn-cs"/>
            </a:rPr>
            <a:t>"data analyst placement"</a:t>
          </a:r>
          <a:r>
            <a:rPr lang="en-CA" altLang="zh-CN" sz="1200"/>
            <a:t> as Phrase Match keywords.</a:t>
          </a:r>
        </a:p>
        <a:p>
          <a:br>
            <a:rPr lang="en-CA" altLang="zh-CN" sz="1200"/>
          </a:br>
          <a:endParaRPr lang="en-CA" altLang="zh-CN" sz="1200"/>
        </a:p>
        <a:p>
          <a:r>
            <a:rPr lang="en-CA" altLang="zh-CN" sz="1200" b="1"/>
            <a:t>3. Trial 836 (DA Program)</a:t>
          </a:r>
        </a:p>
        <a:p>
          <a:r>
            <a:rPr lang="en-CA" altLang="zh-CN" sz="1200" b="1"/>
            <a:t>Performance Summary</a:t>
          </a:r>
          <a:endParaRPr lang="en-CA" altLang="zh-CN" sz="1200"/>
        </a:p>
        <a:p>
          <a:r>
            <a:rPr lang="en-CA" altLang="zh-CN" sz="1200" b="1"/>
            <a:t>Spend:</a:t>
          </a:r>
          <a:r>
            <a:rPr lang="en-CA" altLang="zh-CN" sz="1200"/>
            <a:t> $281</a:t>
          </a:r>
        </a:p>
        <a:p>
          <a:r>
            <a:rPr lang="en-CA" altLang="zh-CN" sz="1200" b="1"/>
            <a:t>CPA:</a:t>
          </a:r>
          <a:r>
            <a:rPr lang="en-CA" altLang="zh-CN" sz="1200"/>
            <a:t> $46.76</a:t>
          </a:r>
        </a:p>
        <a:p>
          <a:r>
            <a:rPr lang="en-CA" altLang="zh-CN" sz="1200" b="1"/>
            <a:t>CVR:</a:t>
          </a:r>
          <a:r>
            <a:rPr lang="en-CA" altLang="zh-CN" sz="1200"/>
            <a:t> 6.12% (Lowest)</a:t>
          </a:r>
        </a:p>
        <a:p>
          <a:r>
            <a:rPr lang="en-CA" altLang="zh-CN" sz="1200" b="1"/>
            <a:t>CTR:</a:t>
          </a:r>
          <a:r>
            <a:rPr lang="en-CA" altLang="zh-CN" sz="1200"/>
            <a:t> 6.94% (Highest)</a:t>
          </a:r>
        </a:p>
        <a:p>
          <a:r>
            <a:rPr lang="en-CA" altLang="zh-CN" sz="1200" b="1"/>
            <a:t>Observations</a:t>
          </a:r>
          <a:endParaRPr lang="en-CA" altLang="zh-CN" sz="1200"/>
        </a:p>
        <a:p>
          <a:r>
            <a:rPr lang="en-CA" altLang="zh-CN" sz="1200"/>
            <a:t>This campaign has the highest Click-Through Rate (6.94%) but the lowest Conversion Rate (6.12%).</a:t>
          </a:r>
        </a:p>
        <a:p>
          <a:r>
            <a:rPr lang="en-CA" altLang="zh-CN" sz="1200"/>
            <a:t>Broad match </a:t>
          </a:r>
          <a:r>
            <a:rPr lang="en-CA" altLang="zh-CN" sz="1200">
              <a:solidFill>
                <a:schemeClr val="dk1"/>
              </a:solidFill>
              <a:latin typeface="+mn-lt"/>
              <a:ea typeface="+mn-ea"/>
              <a:cs typeface="+mn-cs"/>
            </a:rPr>
            <a:t>best bootcamp for data analyst</a:t>
          </a:r>
          <a:r>
            <a:rPr lang="en-CA" altLang="zh-CN" sz="1200"/>
            <a:t> (from previous report) showed high spend with 0 conversions.</a:t>
          </a:r>
        </a:p>
        <a:p>
          <a:r>
            <a:rPr lang="en-CA" altLang="zh-CN" sz="1200" b="1"/>
            <a:t>Insights</a:t>
          </a:r>
          <a:endParaRPr lang="en-CA" altLang="zh-CN" sz="1200"/>
        </a:p>
        <a:p>
          <a:r>
            <a:rPr lang="en-CA" altLang="zh-CN" sz="1200" b="1"/>
            <a:t>Disconnect:</a:t>
          </a:r>
          <a:r>
            <a:rPr lang="en-CA" altLang="zh-CN" sz="1200"/>
            <a:t> The high CTR indicates the ad copy (likely promising a "Trial") is very attractive. However, the low CVR suggests the landing page does not seamlessly deliver on that promise, causing user drop-off.</a:t>
          </a:r>
        </a:p>
        <a:p>
          <a:r>
            <a:rPr lang="en-CA" altLang="zh-CN" sz="1200" b="1"/>
            <a:t>Risk:</a:t>
          </a:r>
          <a:r>
            <a:rPr lang="en-CA" altLang="zh-CN" sz="1200"/>
            <a:t> Continued spending on this campaign is inefficient without a landing page audit.</a:t>
          </a:r>
        </a:p>
        <a:p>
          <a:r>
            <a:rPr lang="en-CA" altLang="zh-CN" sz="1200" b="1"/>
            <a:t>Next Actions</a:t>
          </a:r>
          <a:endParaRPr lang="en-CA" altLang="zh-CN" sz="1200"/>
        </a:p>
        <a:p>
          <a:r>
            <a:rPr lang="en-CA" altLang="zh-CN" sz="1200" b="1"/>
            <a:t>Audit:</a:t>
          </a:r>
          <a:r>
            <a:rPr lang="en-CA" altLang="zh-CN" sz="1200"/>
            <a:t> Review the "Trial 836" landing page funnel. Ensure the sign-up process for the trial is frictionless.</a:t>
          </a:r>
        </a:p>
        <a:p>
          <a:r>
            <a:rPr lang="en-CA" altLang="zh-CN" b="1"/>
            <a:t>Decision:</a:t>
          </a:r>
          <a:r>
            <a:rPr lang="en-CA" altLang="zh-CN"/>
            <a:t> If the landing page cannot be optimized immediately, </a:t>
          </a:r>
          <a:r>
            <a:rPr lang="en-CA" altLang="zh-CN" b="1"/>
            <a:t>pause this campaign</a:t>
          </a:r>
          <a:r>
            <a:rPr lang="en-CA" altLang="zh-CN"/>
            <a:t> and redirect the budget to the high-performing FY24 DE campaign.</a:t>
          </a:r>
        </a:p>
        <a:p>
          <a:endParaRPr lang="zh-CN" altLang="en-US" sz="1100"/>
        </a:p>
      </xdr:txBody>
    </xdr:sp>
    <xdr:clientData/>
  </xdr:twoCellAnchor>
  <xdr:twoCellAnchor>
    <xdr:from>
      <xdr:col>9</xdr:col>
      <xdr:colOff>101599</xdr:colOff>
      <xdr:row>194</xdr:row>
      <xdr:rowOff>169334</xdr:rowOff>
    </xdr:from>
    <xdr:to>
      <xdr:col>16</xdr:col>
      <xdr:colOff>203200</xdr:colOff>
      <xdr:row>215</xdr:row>
      <xdr:rowOff>169334</xdr:rowOff>
    </xdr:to>
    <xdr:sp macro="" textlink="">
      <xdr:nvSpPr>
        <xdr:cNvPr id="4" name="文本框 3">
          <a:extLst>
            <a:ext uri="{FF2B5EF4-FFF2-40B4-BE49-F238E27FC236}">
              <a16:creationId xmlns:a16="http://schemas.microsoft.com/office/drawing/2014/main" id="{9F7A7868-2316-09B6-D828-F0AE5008FEB2}"/>
            </a:ext>
          </a:extLst>
        </xdr:cNvPr>
        <xdr:cNvSpPr txBox="1"/>
      </xdr:nvSpPr>
      <xdr:spPr>
        <a:xfrm>
          <a:off x="11074399" y="36305067"/>
          <a:ext cx="6976534" cy="391160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ltLang="zh-CN" sz="1200"/>
            <a:t> FY24_Brave_ISA_DE Program</a:t>
          </a:r>
        </a:p>
        <a:p>
          <a:r>
            <a:rPr lang="en-CA" altLang="zh-CN" sz="1200" b="1"/>
            <a:t>Observations</a:t>
          </a:r>
          <a:endParaRPr lang="en-CA" altLang="zh-CN" sz="1200"/>
        </a:p>
        <a:p>
          <a:r>
            <a:rPr lang="en-CA" altLang="zh-CN" sz="1200" b="1"/>
            <a:t>Match Type Disparity:</a:t>
          </a:r>
          <a:r>
            <a:rPr lang="en-CA" altLang="zh-CN" sz="1200"/>
            <a:t> There is a massive efficiency gap between match types. Broad Match has a CPA of </a:t>
          </a:r>
          <a:r>
            <a:rPr lang="en-CA" altLang="zh-CN" sz="1200" b="1"/>
            <a:t>$37.81</a:t>
          </a:r>
          <a:r>
            <a:rPr lang="en-CA" altLang="zh-CN" sz="1200"/>
            <a:t>, while Exact Match delivers conversions at just </a:t>
          </a:r>
          <a:r>
            <a:rPr lang="en-CA" altLang="zh-CN" sz="1200" b="1"/>
            <a:t>$5.97</a:t>
          </a:r>
          <a:r>
            <a:rPr lang="en-CA" altLang="zh-CN" sz="1200"/>
            <a:t>.</a:t>
          </a:r>
        </a:p>
        <a:p>
          <a:r>
            <a:rPr lang="en-CA" altLang="zh-CN" sz="1200" b="1"/>
            <a:t>Spend Allocation:</a:t>
          </a:r>
          <a:r>
            <a:rPr lang="en-CA" altLang="zh-CN" sz="1200"/>
            <a:t> Despite Exact Match being 6x more efficient, it received only </a:t>
          </a:r>
          <a:r>
            <a:rPr lang="en-CA" altLang="zh-CN" sz="1200" b="1"/>
            <a:t>3% of the total budget</a:t>
          </a:r>
          <a:r>
            <a:rPr lang="en-CA" altLang="zh-CN" sz="1200"/>
            <a:t> ($35.80 out of $1,203). Broad Match consumed 94% of the spend.</a:t>
          </a:r>
        </a:p>
        <a:p>
          <a:r>
            <a:rPr lang="en-CA" altLang="zh-CN" sz="1200" b="1"/>
            <a:t>Keyword Performance:</a:t>
          </a:r>
          <a:r>
            <a:rPr lang="en-CA" altLang="zh-CN" sz="1200"/>
            <a:t> The search term "data engineering coaching" appears in both Broad and Phrase/Exact data. When triggered as an Exact Match </a:t>
          </a:r>
          <a:r>
            <a:rPr lang="en-CA" altLang="zh-CN" sz="1200">
              <a:solidFill>
                <a:schemeClr val="dk1"/>
              </a:solidFill>
              <a:latin typeface="+mn-lt"/>
              <a:ea typeface="+mn-ea"/>
              <a:cs typeface="+mn-cs"/>
            </a:rPr>
            <a:t>[data engineering coaching]</a:t>
          </a:r>
          <a:r>
            <a:rPr lang="en-CA" altLang="zh-CN" sz="1200"/>
            <a:t>, it converts at a $6.02 CPA. As a broad term, the CPA fluctuates.</a:t>
          </a:r>
        </a:p>
        <a:p>
          <a:r>
            <a:rPr lang="en-CA" altLang="zh-CN" sz="1200" b="1"/>
            <a:t>Insight</a:t>
          </a:r>
          <a:r>
            <a:rPr lang="en-CA" altLang="zh-CN" sz="1200"/>
            <a:t> </a:t>
          </a:r>
        </a:p>
        <a:p>
          <a:r>
            <a:rPr lang="en-CA" altLang="zh-CN" sz="1200"/>
            <a:t>The campaign is heavily under-optimizing for high-intent traffic. Users searching for specific terms like "coaching" or "training courses" (Exact Match) convert at 40%, whereas general explorers (Broad Match) convert at only 6.8%. The current structure starves the most profitable keywords of budget while over-funding lower-quality traffic.</a:t>
          </a:r>
        </a:p>
        <a:p>
          <a:r>
            <a:rPr lang="en-CA" altLang="zh-CN" sz="1200" b="1"/>
            <a:t>Suggestions</a:t>
          </a:r>
          <a:endParaRPr lang="en-CA" altLang="zh-CN" sz="1200"/>
        </a:p>
        <a:p>
          <a:r>
            <a:rPr lang="en-CA" altLang="zh-CN" sz="1200" b="1"/>
            <a:t>Isolate Exact Match:</a:t>
          </a:r>
          <a:r>
            <a:rPr lang="en-CA" altLang="zh-CN" sz="1200"/>
            <a:t> Create a dedicated "Alpha" campaign or ad group strictly for </a:t>
          </a:r>
          <a:r>
            <a:rPr lang="en-CA" altLang="zh-CN" sz="1200">
              <a:solidFill>
                <a:schemeClr val="dk1"/>
              </a:solidFill>
              <a:latin typeface="+mn-lt"/>
              <a:ea typeface="+mn-ea"/>
              <a:cs typeface="+mn-cs"/>
            </a:rPr>
            <a:t>[data engineering coaching]</a:t>
          </a:r>
          <a:r>
            <a:rPr lang="en-CA" altLang="zh-CN" sz="1200"/>
            <a:t> and </a:t>
          </a:r>
          <a:r>
            <a:rPr lang="en-CA" altLang="zh-CN" sz="1200">
              <a:solidFill>
                <a:schemeClr val="dk1"/>
              </a:solidFill>
              <a:latin typeface="+mn-lt"/>
              <a:ea typeface="+mn-ea"/>
              <a:cs typeface="+mn-cs"/>
            </a:rPr>
            <a:t>[big data training courses]</a:t>
          </a:r>
          <a:r>
            <a:rPr lang="en-CA" altLang="zh-CN" sz="1200"/>
            <a:t>. Allocate at least 20% of the daily budget here to maximize impression share on these $6 CPA terms.</a:t>
          </a:r>
        </a:p>
        <a:p>
          <a:r>
            <a:rPr lang="en-CA" altLang="zh-CN" sz="1200" b="1"/>
            <a:t>Restrict Broad Match:</a:t>
          </a:r>
          <a:r>
            <a:rPr lang="en-CA" altLang="zh-CN" sz="1200"/>
            <a:t> Lower the bids on the Broad Match ad groups to force the system to prioritize the efficient Exact Match traffic first.</a:t>
          </a:r>
        </a:p>
        <a:p>
          <a:endParaRPr lang="zh-CN" altLang="en-US" sz="1100"/>
        </a:p>
      </xdr:txBody>
    </xdr:sp>
    <xdr:clientData/>
  </xdr:twoCellAnchor>
  <xdr:twoCellAnchor>
    <xdr:from>
      <xdr:col>9</xdr:col>
      <xdr:colOff>84667</xdr:colOff>
      <xdr:row>176</xdr:row>
      <xdr:rowOff>152399</xdr:rowOff>
    </xdr:from>
    <xdr:to>
      <xdr:col>16</xdr:col>
      <xdr:colOff>169334</xdr:colOff>
      <xdr:row>193</xdr:row>
      <xdr:rowOff>84666</xdr:rowOff>
    </xdr:to>
    <xdr:sp macro="" textlink="">
      <xdr:nvSpPr>
        <xdr:cNvPr id="5" name="文本框 4">
          <a:extLst>
            <a:ext uri="{FF2B5EF4-FFF2-40B4-BE49-F238E27FC236}">
              <a16:creationId xmlns:a16="http://schemas.microsoft.com/office/drawing/2014/main" id="{30F34E68-1FFF-A496-A704-A68468E368DA}"/>
            </a:ext>
          </a:extLst>
        </xdr:cNvPr>
        <xdr:cNvSpPr txBox="1"/>
      </xdr:nvSpPr>
      <xdr:spPr>
        <a:xfrm>
          <a:off x="11057467" y="32935332"/>
          <a:ext cx="6959600" cy="3098801"/>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ltLang="zh-CN" sz="1200" b="1"/>
            <a:t>FY23_Brave_ISA_DA Program (Trial 836)</a:t>
          </a:r>
        </a:p>
        <a:p>
          <a:r>
            <a:rPr lang="en-CA" altLang="zh-CN" sz="1200" b="1"/>
            <a:t>Observations</a:t>
          </a:r>
          <a:endParaRPr lang="en-CA" altLang="zh-CN" sz="1200"/>
        </a:p>
        <a:p>
          <a:r>
            <a:rPr lang="en-CA" altLang="zh-CN" sz="1200" b="1"/>
            <a:t>Performance Volatility:</a:t>
          </a:r>
          <a:r>
            <a:rPr lang="en-CA" altLang="zh-CN" sz="1200"/>
            <a:t> This trial campaign achieved a respectable </a:t>
          </a:r>
          <a:r>
            <a:rPr lang="en-CA" altLang="zh-CN" sz="1200" b="1"/>
            <a:t>$46.76 CPA</a:t>
          </a:r>
          <a:r>
            <a:rPr lang="en-CA" altLang="zh-CN" sz="1200"/>
            <a:t> overall using only Broad Match, but the search term quality varies significantly.</a:t>
          </a:r>
        </a:p>
        <a:p>
          <a:r>
            <a:rPr lang="en-CA" altLang="zh-CN" sz="1200" b="1"/>
            <a:t>Intent Mismatch:</a:t>
          </a:r>
          <a:r>
            <a:rPr lang="en-CA" altLang="zh-CN" sz="1200"/>
            <a:t> The term "business analyst boot camp" spent roughly 16% of the budget ($45.52) but resulted in </a:t>
          </a:r>
          <a:r>
            <a:rPr lang="en-CA" altLang="zh-CN" sz="1200" b="1"/>
            <a:t>0 conversions</a:t>
          </a:r>
          <a:r>
            <a:rPr lang="en-CA" altLang="zh-CN" sz="1200"/>
            <a:t>.</a:t>
          </a:r>
        </a:p>
        <a:p>
          <a:r>
            <a:rPr lang="en-CA" altLang="zh-CN" sz="1200" b="1"/>
            <a:t>Strong Performer:</a:t>
          </a:r>
          <a:r>
            <a:rPr lang="en-CA" altLang="zh-CN" sz="1200"/>
            <a:t> The term "data analyst trainee" drove 50% of the campaign's conversions (3 out of 6) at a highly efficient </a:t>
          </a:r>
          <a:r>
            <a:rPr lang="en-CA" altLang="zh-CN" sz="1200" b="1"/>
            <a:t>$21.25 CPA</a:t>
          </a:r>
          <a:r>
            <a:rPr lang="en-CA" altLang="zh-CN" sz="1200"/>
            <a:t>.</a:t>
          </a:r>
        </a:p>
        <a:p>
          <a:r>
            <a:rPr lang="en-CA" altLang="zh-CN" sz="1200" b="1"/>
            <a:t>Insight</a:t>
          </a:r>
        </a:p>
        <a:p>
          <a:r>
            <a:rPr lang="en-CA" altLang="zh-CN" sz="1200"/>
            <a:t>The campaign is wasting budget on "Business Analyst" queries which likely do not align with the "Data Analyst" offer, causing users to bounce without converting. Meanwhile, "Trainee" related terms indicate users looking for entry-level roles, which aligns perfectly with the offer and drives the best results.</a:t>
          </a:r>
        </a:p>
        <a:p>
          <a:r>
            <a:rPr lang="en-CA" altLang="zh-CN" sz="1200" b="1"/>
            <a:t>Suggestions</a:t>
          </a:r>
          <a:endParaRPr lang="en-CA" altLang="zh-CN" sz="1200"/>
        </a:p>
        <a:p>
          <a:r>
            <a:rPr lang="en-CA" altLang="zh-CN" sz="1200" b="1"/>
            <a:t>Negative Matching:</a:t>
          </a:r>
          <a:r>
            <a:rPr lang="en-CA" altLang="zh-CN" sz="1200"/>
            <a:t> Add "business" as a negative keyword to prevent the Data Analyst ads from showing for "Business Analyst" searches.</a:t>
          </a:r>
        </a:p>
        <a:p>
          <a:r>
            <a:rPr lang="en-CA" altLang="zh-CN" sz="1200" b="1"/>
            <a:t>Keyword Expansion:</a:t>
          </a:r>
          <a:r>
            <a:rPr lang="en-CA" altLang="zh-CN" sz="1200"/>
            <a:t> Add </a:t>
          </a:r>
          <a:r>
            <a:rPr lang="en-CA" altLang="zh-CN" sz="1200">
              <a:solidFill>
                <a:schemeClr val="dk1"/>
              </a:solidFill>
              <a:latin typeface="+mn-lt"/>
              <a:ea typeface="+mn-ea"/>
              <a:cs typeface="+mn-cs"/>
            </a:rPr>
            <a:t>[data analyst trainee]</a:t>
          </a:r>
          <a:r>
            <a:rPr lang="en-CA" altLang="zh-CN" sz="1200"/>
            <a:t> and </a:t>
          </a:r>
          <a:r>
            <a:rPr lang="en-CA" altLang="zh-CN" sz="1200">
              <a:solidFill>
                <a:schemeClr val="dk1"/>
              </a:solidFill>
              <a:latin typeface="+mn-lt"/>
              <a:ea typeface="+mn-ea"/>
              <a:cs typeface="+mn-cs"/>
            </a:rPr>
            <a:t>"data analyst trainee"</a:t>
          </a:r>
          <a:r>
            <a:rPr lang="en-CA" altLang="zh-CN" sz="1200"/>
            <a:t> as Exact and Phrase match keywords to secure this traffic at the $21 CPA price point.</a:t>
          </a:r>
        </a:p>
        <a:p>
          <a:br>
            <a:rPr lang="en-CA" altLang="zh-CN" sz="1200"/>
          </a:br>
          <a:endParaRPr lang="en-CA" altLang="zh-CN" sz="1200"/>
        </a:p>
        <a:p>
          <a:endParaRPr lang="zh-CN" altLang="en-US" sz="1100"/>
        </a:p>
      </xdr:txBody>
    </xdr:sp>
    <xdr:clientData/>
  </xdr:twoCellAnchor>
  <xdr:twoCellAnchor>
    <xdr:from>
      <xdr:col>9</xdr:col>
      <xdr:colOff>186267</xdr:colOff>
      <xdr:row>113</xdr:row>
      <xdr:rowOff>152400</xdr:rowOff>
    </xdr:from>
    <xdr:to>
      <xdr:col>16</xdr:col>
      <xdr:colOff>220134</xdr:colOff>
      <xdr:row>131</xdr:row>
      <xdr:rowOff>33867</xdr:rowOff>
    </xdr:to>
    <xdr:sp macro="" textlink="">
      <xdr:nvSpPr>
        <xdr:cNvPr id="6" name="文本框 5">
          <a:extLst>
            <a:ext uri="{FF2B5EF4-FFF2-40B4-BE49-F238E27FC236}">
              <a16:creationId xmlns:a16="http://schemas.microsoft.com/office/drawing/2014/main" id="{2276FE23-BCD2-02A0-9784-3338D8A54C1E}"/>
            </a:ext>
          </a:extLst>
        </xdr:cNvPr>
        <xdr:cNvSpPr txBox="1"/>
      </xdr:nvSpPr>
      <xdr:spPr>
        <a:xfrm>
          <a:off x="11159067" y="21200533"/>
          <a:ext cx="6908800" cy="323426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ltLang="zh-CN" sz="1200" b="1"/>
            <a:t>FY23_Brave_ISA_DA Program </a:t>
          </a:r>
        </a:p>
        <a:p>
          <a:r>
            <a:rPr lang="en-CA" altLang="zh-CN" sz="1200" b="1"/>
            <a:t>Observations</a:t>
          </a:r>
          <a:endParaRPr lang="en-CA" altLang="zh-CN" sz="1200"/>
        </a:p>
        <a:p>
          <a:r>
            <a:rPr lang="en-CA" altLang="zh-CN" sz="1200" b="1"/>
            <a:t>Broad Match Reliance:</a:t>
          </a:r>
          <a:r>
            <a:rPr lang="en-CA" altLang="zh-CN" sz="1200"/>
            <a:t> This campaign ran almost exclusively on Broad Match (98% of spend), resulting in a high average CPA of </a:t>
          </a:r>
          <a:r>
            <a:rPr lang="en-CA" altLang="zh-CN" sz="1200" b="1"/>
            <a:t>$53.79</a:t>
          </a:r>
          <a:r>
            <a:rPr lang="en-CA" altLang="zh-CN" sz="1200"/>
            <a:t>.</a:t>
          </a:r>
        </a:p>
        <a:p>
          <a:r>
            <a:rPr lang="en-CA" altLang="zh-CN" sz="1200" b="1"/>
            <a:t>The "Hidden" Winner:</a:t>
          </a:r>
          <a:r>
            <a:rPr lang="en-CA" altLang="zh-CN" sz="1200"/>
            <a:t> Buried within the Broad Match data is the search term "data analyst online training." It drove 8 conversions at a remarkably low </a:t>
          </a:r>
          <a:r>
            <a:rPr lang="en-CA" altLang="zh-CN" sz="1200" b="1"/>
            <a:t>$5.66 CPA</a:t>
          </a:r>
          <a:r>
            <a:rPr lang="en-CA" altLang="zh-CN" sz="1200"/>
            <a:t>.</a:t>
          </a:r>
        </a:p>
        <a:p>
          <a:r>
            <a:rPr lang="en-CA" altLang="zh-CN" sz="1200" b="1"/>
            <a:t>The Budget Drain:</a:t>
          </a:r>
          <a:r>
            <a:rPr lang="en-CA" altLang="zh-CN" sz="1200"/>
            <a:t> Conversely, the term "data analytics training" spent $319 (approx. 20% of the budget) but only generated 3 conversions, resulting in a </a:t>
          </a:r>
          <a:r>
            <a:rPr lang="en-CA" altLang="zh-CN" sz="1200" b="1"/>
            <a:t>$106.40 CPA</a:t>
          </a:r>
          <a:r>
            <a:rPr lang="en-CA" altLang="zh-CN" sz="1200"/>
            <a:t>.</a:t>
          </a:r>
        </a:p>
        <a:p>
          <a:r>
            <a:rPr lang="en-CA" altLang="zh-CN" sz="1200" b="1"/>
            <a:t>Insight</a:t>
          </a:r>
          <a:r>
            <a:rPr lang="en-CA" altLang="zh-CN" sz="1200"/>
            <a:t> The high campaign-level CPA masks the success of specific terms. The algorithm treats the $5 CPA term ("online training") and the $106 CPA term ("analytics training") equally because they are in the same Broad Match bucket. This lack of segmentation forces you to overpay for conversions.</a:t>
          </a:r>
        </a:p>
        <a:p>
          <a:r>
            <a:rPr lang="en-CA" altLang="zh-CN" sz="1200" b="1"/>
            <a:t>Suggestions</a:t>
          </a:r>
          <a:endParaRPr lang="en-CA" altLang="zh-CN" sz="1200"/>
        </a:p>
        <a:p>
          <a:r>
            <a:rPr lang="en-CA" altLang="zh-CN" sz="1200" b="1"/>
            <a:t>Extract the Winner:</a:t>
          </a:r>
          <a:r>
            <a:rPr lang="en-CA" altLang="zh-CN" sz="1200"/>
            <a:t> Immediately add </a:t>
          </a:r>
          <a:r>
            <a:rPr lang="en-CA" altLang="zh-CN" sz="1200">
              <a:solidFill>
                <a:schemeClr val="dk1"/>
              </a:solidFill>
              <a:latin typeface="+mn-lt"/>
              <a:ea typeface="+mn-ea"/>
              <a:cs typeface="+mn-cs"/>
            </a:rPr>
            <a:t>[data analyst online training]</a:t>
          </a:r>
          <a:r>
            <a:rPr lang="en-CA" altLang="zh-CN" sz="1200"/>
            <a:t> as an Exact Match keyword. Bid aggressively to capture 100% of the demand for this term.</a:t>
          </a:r>
        </a:p>
        <a:p>
          <a:r>
            <a:rPr lang="en-CA" altLang="zh-CN" sz="1200" b="1"/>
            <a:t>Block the Loser:</a:t>
          </a:r>
          <a:r>
            <a:rPr lang="en-CA" altLang="zh-CN" sz="1200"/>
            <a:t> Add "data analytics training" as a Negative Keyword. This single action will save ~20% of your budget, which can be reinvested into the high-performing "online training" term.</a:t>
          </a:r>
        </a:p>
        <a:p>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34</xdr:row>
      <xdr:rowOff>33184</xdr:rowOff>
    </xdr:from>
    <xdr:to>
      <xdr:col>7</xdr:col>
      <xdr:colOff>558800</xdr:colOff>
      <xdr:row>78</xdr:row>
      <xdr:rowOff>12700</xdr:rowOff>
    </xdr:to>
    <xdr:sp macro="" textlink="">
      <xdr:nvSpPr>
        <xdr:cNvPr id="5" name="文本框 4">
          <a:extLst>
            <a:ext uri="{FF2B5EF4-FFF2-40B4-BE49-F238E27FC236}">
              <a16:creationId xmlns:a16="http://schemas.microsoft.com/office/drawing/2014/main" id="{4535F3C2-CA34-F25F-E61B-9C55BAE7103F}"/>
            </a:ext>
          </a:extLst>
        </xdr:cNvPr>
        <xdr:cNvSpPr txBox="1"/>
      </xdr:nvSpPr>
      <xdr:spPr>
        <a:xfrm>
          <a:off x="0" y="6510184"/>
          <a:ext cx="10731500" cy="8361516"/>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ltLang="zh-CN" b="1"/>
            <a:t>Analysis: Core Audience (25-34)</a:t>
          </a:r>
        </a:p>
        <a:p>
          <a:r>
            <a:rPr lang="en-CA" altLang="zh-CN" b="1"/>
            <a:t>Observations</a:t>
          </a:r>
          <a:endParaRPr lang="en-CA" altLang="zh-CN"/>
        </a:p>
        <a:p>
          <a:r>
            <a:rPr lang="en-CA" altLang="zh-CN"/>
            <a:t>In the </a:t>
          </a:r>
          <a:r>
            <a:rPr lang="en-CA" altLang="zh-CN" b="1"/>
            <a:t>DA Program</a:t>
          </a:r>
          <a:r>
            <a:rPr lang="en-CA" altLang="zh-CN"/>
            <a:t>, the 25-34 segment is the primary driver, generating </a:t>
          </a:r>
          <a:r>
            <a:rPr lang="en-CA" altLang="zh-CN" b="1"/>
            <a:t>74% of conversions</a:t>
          </a:r>
          <a:r>
            <a:rPr lang="en-CA" altLang="zh-CN"/>
            <a:t> (23) at a highly efficient </a:t>
          </a:r>
          <a:r>
            <a:rPr lang="en-CA" altLang="zh-CN" b="1"/>
            <a:t>$28.75 CPA</a:t>
          </a:r>
          <a:r>
            <a:rPr lang="en-CA" altLang="zh-CN"/>
            <a:t>.</a:t>
          </a:r>
        </a:p>
        <a:p>
          <a:r>
            <a:rPr lang="en-CA" altLang="zh-CN"/>
            <a:t>In the </a:t>
          </a:r>
          <a:r>
            <a:rPr lang="en-CA" altLang="zh-CN" b="1"/>
            <a:t>DE Program</a:t>
          </a:r>
          <a:r>
            <a:rPr lang="en-CA" altLang="zh-CN"/>
            <a:t>, the 25-34 segment drives the most volume (12 conversions) but at a significantly higher </a:t>
          </a:r>
          <a:r>
            <a:rPr lang="en-CA" altLang="zh-CN" b="1"/>
            <a:t>$39.26 CPA</a:t>
          </a:r>
          <a:r>
            <a:rPr lang="en-CA" altLang="zh-CN"/>
            <a:t>, which is 74% more expensive than the younger 18-24 cohort in the same campaign.</a:t>
          </a:r>
        </a:p>
        <a:p>
          <a:r>
            <a:rPr lang="en-CA" altLang="zh-CN"/>
            <a:t>Conversion rates for this age group drop significantly between programs: </a:t>
          </a:r>
          <a:r>
            <a:rPr lang="en-CA" altLang="zh-CN" b="1"/>
            <a:t>14.29% for DA</a:t>
          </a:r>
          <a:r>
            <a:rPr lang="en-CA" altLang="zh-CN"/>
            <a:t> versus </a:t>
          </a:r>
          <a:r>
            <a:rPr lang="en-CA" altLang="zh-CN" b="1"/>
            <a:t>6.63% for DE</a:t>
          </a:r>
          <a:r>
            <a:rPr lang="en-CA" altLang="zh-CN"/>
            <a:t>.</a:t>
          </a:r>
        </a:p>
        <a:p>
          <a:r>
            <a:rPr lang="en-CA" altLang="zh-CN" b="1"/>
            <a:t>Insights</a:t>
          </a:r>
          <a:endParaRPr lang="en-CA" altLang="zh-CN"/>
        </a:p>
        <a:p>
          <a:r>
            <a:rPr lang="en-CA" altLang="zh-CN"/>
            <a:t>The Data Analytics (DA) offer has a strong product-market fit with early-career professionals (25-34), likely due to its relevance for career upskilling.</a:t>
          </a:r>
        </a:p>
        <a:p>
          <a:r>
            <a:rPr lang="en-CA" altLang="zh-CN"/>
            <a:t>The Data Engineering (DE) offer is less compelling for this age group compared to students. The lower CVR (6.63%) indicates that while 25-34s are interested (high volume), they encounter more friction or lower urgency than the younger demographic.</a:t>
          </a:r>
        </a:p>
        <a:p>
          <a:r>
            <a:rPr lang="en-CA" altLang="zh-CN" b="1"/>
            <a:t>Suggestions</a:t>
          </a:r>
          <a:endParaRPr lang="en-CA" altLang="zh-CN"/>
        </a:p>
        <a:p>
          <a:r>
            <a:rPr lang="en-CA" altLang="zh-CN" b="1"/>
            <a:t>Scale DA:</a:t>
          </a:r>
          <a:r>
            <a:rPr lang="en-CA" altLang="zh-CN"/>
            <a:t> Maximize impression share for 25-34 in the DA campaign; this is the profit engine.</a:t>
          </a:r>
        </a:p>
        <a:p>
          <a:r>
            <a:rPr lang="en-CA" altLang="zh-CN" b="1"/>
            <a:t>Bid Down DE:</a:t>
          </a:r>
          <a:r>
            <a:rPr lang="en-CA" altLang="zh-CN"/>
            <a:t> Apply a </a:t>
          </a:r>
          <a:r>
            <a:rPr lang="en-CA" altLang="zh-CN" b="1"/>
            <a:t>-10% bid adjustment</a:t>
          </a:r>
          <a:r>
            <a:rPr lang="en-CA" altLang="zh-CN"/>
            <a:t> for 25-34 in the DE campaign to align the $39.26 CPA closer to the campaign average.</a:t>
          </a:r>
        </a:p>
        <a:p>
          <a:br>
            <a:rPr lang="en-CA" altLang="zh-CN"/>
          </a:br>
          <a:endParaRPr lang="en-CA" altLang="zh-CN"/>
        </a:p>
        <a:p>
          <a:r>
            <a:rPr lang="en-CA" altLang="zh-CN" b="1"/>
            <a:t>Analysis: Student Demographic (18-24)</a:t>
          </a:r>
        </a:p>
        <a:p>
          <a:r>
            <a:rPr lang="en-CA" altLang="zh-CN" b="1"/>
            <a:t>Observations</a:t>
          </a:r>
          <a:endParaRPr lang="en-CA" altLang="zh-CN"/>
        </a:p>
        <a:p>
          <a:r>
            <a:rPr lang="en-CA" altLang="zh-CN"/>
            <a:t>In the </a:t>
          </a:r>
          <a:r>
            <a:rPr lang="en-CA" altLang="zh-CN" b="1"/>
            <a:t>DE Program</a:t>
          </a:r>
          <a:r>
            <a:rPr lang="en-CA" altLang="zh-CN"/>
            <a:t>, this segment is the top performer with the lowest CPA (</a:t>
          </a:r>
          <a:r>
            <a:rPr lang="en-CA" altLang="zh-CN" b="1"/>
            <a:t>$22.53</a:t>
          </a:r>
          <a:r>
            <a:rPr lang="en-CA" altLang="zh-CN"/>
            <a:t>) and highest CVR (</a:t>
          </a:r>
          <a:r>
            <a:rPr lang="en-CA" altLang="zh-CN" b="1"/>
            <a:t>12.96%</a:t>
          </a:r>
          <a:r>
            <a:rPr lang="en-CA" altLang="zh-CN"/>
            <a:t>).</a:t>
          </a:r>
        </a:p>
        <a:p>
          <a:r>
            <a:rPr lang="en-CA" altLang="zh-CN"/>
            <a:t>In the </a:t>
          </a:r>
          <a:r>
            <a:rPr lang="en-CA" altLang="zh-CN" b="1"/>
            <a:t>DA Program</a:t>
          </a:r>
          <a:r>
            <a:rPr lang="en-CA" altLang="zh-CN"/>
            <a:t>, this same segment performs poorly, with a high CPA of </a:t>
          </a:r>
          <a:r>
            <a:rPr lang="en-CA" altLang="zh-CN" b="1"/>
            <a:t>$77.62</a:t>
          </a:r>
          <a:r>
            <a:rPr lang="en-CA" altLang="zh-CN"/>
            <a:t> and a much lower CVR of </a:t>
          </a:r>
          <a:r>
            <a:rPr lang="en-CA" altLang="zh-CN" b="1"/>
            <a:t>6.06%</a:t>
          </a:r>
          <a:r>
            <a:rPr lang="en-CA" altLang="zh-CN"/>
            <a:t>.</a:t>
          </a:r>
        </a:p>
        <a:p>
          <a:r>
            <a:rPr lang="en-CA" altLang="zh-CN"/>
            <a:t>There is a clear efficiency gap: 18-24s are </a:t>
          </a:r>
          <a:r>
            <a:rPr lang="en-CA" altLang="zh-CN" b="1"/>
            <a:t>3.5x more expensive</a:t>
          </a:r>
          <a:r>
            <a:rPr lang="en-CA" altLang="zh-CN"/>
            <a:t> to acquire for DA than for DE ($77.62 vs $22.53).</a:t>
          </a:r>
        </a:p>
        <a:p>
          <a:r>
            <a:rPr lang="en-CA" altLang="zh-CN" b="1"/>
            <a:t>Insights</a:t>
          </a:r>
          <a:endParaRPr lang="en-CA" altLang="zh-CN"/>
        </a:p>
        <a:p>
          <a:r>
            <a:rPr lang="en-CA" altLang="zh-CN"/>
            <a:t>The DE product appeals strongly to students/recent grads, likely viewed as a "hard skill" entry into tech.</a:t>
          </a:r>
        </a:p>
        <a:p>
          <a:r>
            <a:rPr lang="en-CA" altLang="zh-CN"/>
            <a:t>The DA product fails to resonate with this younger group, suggesting it is viewed as a mid-career pivot rather than an entry-level foundation.</a:t>
          </a:r>
        </a:p>
        <a:p>
          <a:r>
            <a:rPr lang="en-CA" altLang="zh-CN" b="1"/>
            <a:t>Suggestions</a:t>
          </a:r>
          <a:endParaRPr lang="en-CA" altLang="zh-CN"/>
        </a:p>
        <a:p>
          <a:r>
            <a:rPr lang="en-CA" altLang="zh-CN" b="1"/>
            <a:t>Aggressively Bid DE:</a:t>
          </a:r>
          <a:r>
            <a:rPr lang="en-CA" altLang="zh-CN"/>
            <a:t> Apply a </a:t>
          </a:r>
          <a:r>
            <a:rPr lang="en-CA" altLang="zh-CN" b="1"/>
            <a:t>+15-20% bid adjustment</a:t>
          </a:r>
          <a:r>
            <a:rPr lang="en-CA" altLang="zh-CN"/>
            <a:t> for 18-24 in the DE campaign to capture all available volume.</a:t>
          </a:r>
        </a:p>
        <a:p>
          <a:r>
            <a:rPr lang="en-CA" altLang="zh-CN" b="1"/>
            <a:t>Restrict DA:</a:t>
          </a:r>
          <a:r>
            <a:rPr lang="en-CA" altLang="zh-CN"/>
            <a:t> Apply a </a:t>
          </a:r>
          <a:r>
            <a:rPr lang="en-CA" altLang="zh-CN" b="1"/>
            <a:t>-50% bid adjustment</a:t>
          </a:r>
          <a:r>
            <a:rPr lang="en-CA" altLang="zh-CN"/>
            <a:t> or strict CPA cap for 18-24 in the DA campaign to prevent budget bleed.</a:t>
          </a:r>
        </a:p>
        <a:p>
          <a:br>
            <a:rPr lang="en-CA" altLang="zh-CN"/>
          </a:br>
          <a:endParaRPr lang="en-CA" altLang="zh-CN"/>
        </a:p>
        <a:p>
          <a:r>
            <a:rPr lang="en-CA" altLang="zh-CN" b="1"/>
            <a:t>Analysis: The "Unknown" Segment</a:t>
          </a:r>
        </a:p>
        <a:p>
          <a:r>
            <a:rPr lang="en-CA" altLang="zh-CN" b="1"/>
            <a:t>Observations</a:t>
          </a:r>
          <a:endParaRPr lang="en-CA" altLang="zh-CN"/>
        </a:p>
        <a:p>
          <a:r>
            <a:rPr lang="en-CA" altLang="zh-CN"/>
            <a:t>In the </a:t>
          </a:r>
          <a:r>
            <a:rPr lang="en-CA" altLang="zh-CN" b="1"/>
            <a:t>DE Program</a:t>
          </a:r>
          <a:r>
            <a:rPr lang="en-CA" altLang="zh-CN"/>
            <a:t>, "Unknown" is a stable performer, spending </a:t>
          </a:r>
          <a:r>
            <a:rPr lang="en-CA" altLang="zh-CN" b="1"/>
            <a:t>$267 (22% of budget)</a:t>
          </a:r>
          <a:r>
            <a:rPr lang="en-CA" altLang="zh-CN"/>
            <a:t> at a healthy </a:t>
          </a:r>
          <a:r>
            <a:rPr lang="en-CA" altLang="zh-CN" b="1"/>
            <a:t>$33.40 CPA</a:t>
          </a:r>
          <a:r>
            <a:rPr lang="en-CA" altLang="zh-CN"/>
            <a:t>.</a:t>
          </a:r>
        </a:p>
        <a:p>
          <a:r>
            <a:rPr lang="en-CA" altLang="zh-CN"/>
            <a:t>In the </a:t>
          </a:r>
          <a:r>
            <a:rPr lang="en-CA" altLang="zh-CN" b="1"/>
            <a:t>DA Program</a:t>
          </a:r>
          <a:r>
            <a:rPr lang="en-CA" altLang="zh-CN"/>
            <a:t>, "Unknown" is a source of pure waste, spending </a:t>
          </a:r>
          <a:r>
            <a:rPr lang="en-CA" altLang="zh-CN" b="1"/>
            <a:t>$270 (16% of budget)</a:t>
          </a:r>
          <a:r>
            <a:rPr lang="en-CA" altLang="zh-CN"/>
            <a:t> with </a:t>
          </a:r>
          <a:r>
            <a:rPr lang="en-CA" altLang="zh-CN" b="1"/>
            <a:t>0 conversions</a:t>
          </a:r>
          <a:r>
            <a:rPr lang="en-CA" altLang="zh-CN"/>
            <a:t>.</a:t>
          </a:r>
        </a:p>
        <a:p>
          <a:r>
            <a:rPr lang="en-CA" altLang="zh-CN" b="1"/>
            <a:t>Insights</a:t>
          </a:r>
          <a:endParaRPr lang="en-CA" altLang="zh-CN"/>
        </a:p>
        <a:p>
          <a:r>
            <a:rPr lang="en-CA" altLang="zh-CN"/>
            <a:t>The "Unknown" audience quality varies drastically by campaign. For DA, the traffic source associated with "Unknown" (likely specific devices or partner networks) generates zero return. For DE, this same segment contains valuable users, likely privacy-conscious tech users who fit the engineering profile.</a:t>
          </a:r>
        </a:p>
        <a:p>
          <a:r>
            <a:rPr lang="en-CA" altLang="zh-CN" b="1"/>
            <a:t>Suggestions</a:t>
          </a:r>
          <a:endParaRPr lang="en-CA" altLang="zh-CN"/>
        </a:p>
        <a:p>
          <a:r>
            <a:rPr lang="en-CA" altLang="zh-CN" b="1"/>
            <a:t>Exclude for DA:</a:t>
          </a:r>
          <a:r>
            <a:rPr lang="en-CA" altLang="zh-CN"/>
            <a:t> Immediately </a:t>
          </a:r>
          <a:r>
            <a:rPr lang="en-CA" altLang="zh-CN" b="1"/>
            <a:t>exclude the "Unknown" age category</a:t>
          </a:r>
          <a:r>
            <a:rPr lang="en-CA" altLang="zh-CN"/>
            <a:t> from the DA campaign to save ~$270/month.</a:t>
          </a:r>
        </a:p>
        <a:p>
          <a:r>
            <a:rPr lang="en-CA" altLang="zh-CN" b="1"/>
            <a:t>Retain for DE:</a:t>
          </a:r>
          <a:r>
            <a:rPr lang="en-CA" altLang="zh-CN"/>
            <a:t> Keep "Unknown" active in the DE campaign as it contributes 22% of conversions efficiently.</a:t>
          </a:r>
        </a:p>
        <a:p>
          <a:br>
            <a:rPr lang="en-CA" altLang="zh-CN"/>
          </a:br>
          <a:endParaRPr lang="en-CA" altLang="zh-CN"/>
        </a:p>
        <a:p>
          <a:r>
            <a:rPr lang="en-CA" altLang="zh-CN" b="1"/>
            <a:t>Analysis: Senior Demographics (45+)</a:t>
          </a:r>
        </a:p>
        <a:p>
          <a:r>
            <a:rPr lang="en-CA" altLang="zh-CN" b="1"/>
            <a:t>Observations</a:t>
          </a:r>
          <a:endParaRPr lang="en-CA" altLang="zh-CN"/>
        </a:p>
        <a:p>
          <a:r>
            <a:rPr lang="en-CA" altLang="zh-CN"/>
            <a:t>Across all campaigns (DA and DE), age groups </a:t>
          </a:r>
          <a:r>
            <a:rPr lang="en-CA" altLang="zh-CN" b="1"/>
            <a:t>45-54</a:t>
          </a:r>
          <a:r>
            <a:rPr lang="en-CA" altLang="zh-CN"/>
            <a:t>, </a:t>
          </a:r>
          <a:r>
            <a:rPr lang="en-CA" altLang="zh-CN" b="1"/>
            <a:t>55-64</a:t>
          </a:r>
          <a:r>
            <a:rPr lang="en-CA" altLang="zh-CN"/>
            <a:t>, and </a:t>
          </a:r>
          <a:r>
            <a:rPr lang="en-CA" altLang="zh-CN" b="1"/>
            <a:t>65+</a:t>
          </a:r>
          <a:r>
            <a:rPr lang="en-CA" altLang="zh-CN"/>
            <a:t> have accumulated negligible spend (~$50) and </a:t>
          </a:r>
          <a:r>
            <a:rPr lang="en-CA" altLang="zh-CN" b="1"/>
            <a:t>0 conversions</a:t>
          </a:r>
          <a:r>
            <a:rPr lang="en-CA" altLang="zh-CN"/>
            <a:t>.</a:t>
          </a:r>
        </a:p>
        <a:p>
          <a:r>
            <a:rPr lang="en-CA" altLang="zh-CN" b="1"/>
            <a:t>Insights</a:t>
          </a:r>
          <a:endParaRPr lang="en-CA" altLang="zh-CN"/>
        </a:p>
        <a:p>
          <a:r>
            <a:rPr lang="en-CA" altLang="zh-CN"/>
            <a:t>There is no demonstrated product fit for these demographics across either program. Leaving them active creates a risk of "impression leakage" where budget is spent on low-intent views.</a:t>
          </a:r>
        </a:p>
        <a:p>
          <a:r>
            <a:rPr lang="en-CA" altLang="zh-CN" b="1"/>
            <a:t>Suggestions</a:t>
          </a:r>
          <a:endParaRPr lang="en-CA" altLang="zh-CN"/>
        </a:p>
        <a:p>
          <a:r>
            <a:rPr lang="en-CA" altLang="zh-CN" b="1"/>
            <a:t>Global Exclusion:</a:t>
          </a:r>
          <a:r>
            <a:rPr lang="en-CA" altLang="zh-CN"/>
            <a:t> Implement a negative targeting rule for </a:t>
          </a:r>
          <a:r>
            <a:rPr lang="en-CA" altLang="zh-CN" b="1"/>
            <a:t>Age 45+</a:t>
          </a:r>
          <a:r>
            <a:rPr lang="en-CA" altLang="zh-CN"/>
            <a:t> across all ad groups to simplify reporting and prevent accidental spend.</a:t>
          </a:r>
        </a:p>
        <a:p>
          <a:endParaRPr lang="zh-CN" altLang="en-US" sz="1100"/>
        </a:p>
      </xdr:txBody>
    </xdr:sp>
    <xdr:clientData/>
  </xdr:twoCellAnchor>
  <xdr:twoCellAnchor>
    <xdr:from>
      <xdr:col>8</xdr:col>
      <xdr:colOff>25400</xdr:colOff>
      <xdr:row>17</xdr:row>
      <xdr:rowOff>38100</xdr:rowOff>
    </xdr:from>
    <xdr:to>
      <xdr:col>15</xdr:col>
      <xdr:colOff>63500</xdr:colOff>
      <xdr:row>36</xdr:row>
      <xdr:rowOff>88900</xdr:rowOff>
    </xdr:to>
    <xdr:sp macro="" textlink="">
      <xdr:nvSpPr>
        <xdr:cNvPr id="6" name="文本框 5">
          <a:extLst>
            <a:ext uri="{FF2B5EF4-FFF2-40B4-BE49-F238E27FC236}">
              <a16:creationId xmlns:a16="http://schemas.microsoft.com/office/drawing/2014/main" id="{F6C82FD2-5C37-AF12-AFF5-28CDBFAC7D11}"/>
            </a:ext>
          </a:extLst>
        </xdr:cNvPr>
        <xdr:cNvSpPr txBox="1"/>
      </xdr:nvSpPr>
      <xdr:spPr>
        <a:xfrm>
          <a:off x="11442700" y="3276600"/>
          <a:ext cx="11391900" cy="3670300"/>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ltLang="zh-CN" b="1"/>
            <a:t>Observations</a:t>
          </a:r>
        </a:p>
        <a:p>
          <a:r>
            <a:rPr lang="en-CA" altLang="zh-CN" b="1"/>
            <a:t>Program Reversal:</a:t>
          </a:r>
          <a:endParaRPr lang="en-CA" altLang="zh-CN"/>
        </a:p>
        <a:p>
          <a:pPr lvl="1"/>
          <a:r>
            <a:rPr lang="en-CA" altLang="zh-CN"/>
            <a:t>In the </a:t>
          </a:r>
          <a:r>
            <a:rPr lang="en-CA" altLang="zh-CN" b="1"/>
            <a:t>DA Program</a:t>
          </a:r>
          <a:r>
            <a:rPr lang="en-CA" altLang="zh-CN"/>
            <a:t>, </a:t>
          </a:r>
          <a:r>
            <a:rPr lang="en-CA" altLang="zh-CN" b="1"/>
            <a:t>Males</a:t>
          </a:r>
          <a:r>
            <a:rPr lang="en-CA" altLang="zh-CN"/>
            <a:t> are the top performers with a **$39.89 CPA** and </a:t>
          </a:r>
          <a:r>
            <a:rPr lang="en-CA" altLang="zh-CN" b="1"/>
            <a:t>12.14% CVR</a:t>
          </a:r>
          <a:r>
            <a:rPr lang="en-CA" altLang="zh-CN"/>
            <a:t>, significantly outperforming Females ($52.87 CPA, 7.78% CVR).</a:t>
          </a:r>
        </a:p>
        <a:p>
          <a:pPr lvl="1"/>
          <a:r>
            <a:rPr lang="en-CA" altLang="zh-CN"/>
            <a:t>In the </a:t>
          </a:r>
          <a:r>
            <a:rPr lang="en-CA" altLang="zh-CN" b="1"/>
            <a:t>DE Program</a:t>
          </a:r>
          <a:r>
            <a:rPr lang="en-CA" altLang="zh-CN"/>
            <a:t>, this trend flips: </a:t>
          </a:r>
          <a:r>
            <a:rPr lang="en-CA" altLang="zh-CN" b="1"/>
            <a:t>Females</a:t>
          </a:r>
          <a:r>
            <a:rPr lang="en-CA" altLang="zh-CN"/>
            <a:t> are the most efficient segment with a **$29.60 CPA** and </a:t>
          </a:r>
          <a:r>
            <a:rPr lang="en-CA" altLang="zh-CN" b="1"/>
            <a:t>9.30% CVR</a:t>
          </a:r>
          <a:r>
            <a:rPr lang="en-CA" altLang="zh-CN"/>
            <a:t>, outperforming Males ($36.73 CPA, 7.55% CVR).</a:t>
          </a:r>
        </a:p>
        <a:p>
          <a:r>
            <a:rPr lang="en-CA" altLang="zh-CN" b="1"/>
            <a:t>Efficiency Gaps:</a:t>
          </a:r>
          <a:endParaRPr lang="en-CA" altLang="zh-CN"/>
        </a:p>
        <a:p>
          <a:pPr lvl="1"/>
          <a:r>
            <a:rPr lang="en-CA" altLang="zh-CN"/>
            <a:t>For </a:t>
          </a:r>
          <a:r>
            <a:rPr lang="en-CA" altLang="zh-CN" b="1"/>
            <a:t>DA</a:t>
          </a:r>
          <a:r>
            <a:rPr lang="en-CA" altLang="zh-CN"/>
            <a:t>, acquiring a Female student is </a:t>
          </a:r>
          <a:r>
            <a:rPr lang="en-CA" altLang="zh-CN" b="1"/>
            <a:t>33% more expensive</a:t>
          </a:r>
          <a:r>
            <a:rPr lang="en-CA" altLang="zh-CN"/>
            <a:t> than acquiring a Male student ($52.87 vs $39.89).</a:t>
          </a:r>
        </a:p>
        <a:p>
          <a:pPr lvl="1"/>
          <a:r>
            <a:rPr lang="en-CA" altLang="zh-CN"/>
            <a:t>For </a:t>
          </a:r>
          <a:r>
            <a:rPr lang="en-CA" altLang="zh-CN" b="1"/>
            <a:t>DE</a:t>
          </a:r>
          <a:r>
            <a:rPr lang="en-CA" altLang="zh-CN"/>
            <a:t>, acquiring a Male student is </a:t>
          </a:r>
          <a:r>
            <a:rPr lang="en-CA" altLang="zh-CN" b="1"/>
            <a:t>24% more expensive</a:t>
          </a:r>
          <a:r>
            <a:rPr lang="en-CA" altLang="zh-CN"/>
            <a:t> than acquiring a Female student ($36.73 vs $29.60).</a:t>
          </a:r>
        </a:p>
        <a:p>
          <a:r>
            <a:rPr lang="en-CA" altLang="zh-CN" b="1"/>
            <a:t>"Unknown" Segment:</a:t>
          </a:r>
          <a:endParaRPr lang="en-CA" altLang="zh-CN"/>
        </a:p>
        <a:p>
          <a:pPr lvl="1"/>
          <a:r>
            <a:rPr lang="en-CA" altLang="zh-CN"/>
            <a:t>In </a:t>
          </a:r>
          <a:r>
            <a:rPr lang="en-CA" altLang="zh-CN" b="1"/>
            <a:t>DA</a:t>
          </a:r>
          <a:r>
            <a:rPr lang="en-CA" altLang="zh-CN"/>
            <a:t>, the "Unknown" gender segment generated </a:t>
          </a:r>
          <a:r>
            <a:rPr lang="en-CA" altLang="zh-CN" b="1"/>
            <a:t>0 conversions</a:t>
          </a:r>
          <a:r>
            <a:rPr lang="en-CA" altLang="zh-CN"/>
            <a:t> from 83 clicks, resulting in 100% wasted spend.</a:t>
          </a:r>
        </a:p>
        <a:p>
          <a:pPr lvl="1"/>
          <a:r>
            <a:rPr lang="en-CA" altLang="zh-CN"/>
            <a:t>In </a:t>
          </a:r>
          <a:r>
            <a:rPr lang="en-CA" altLang="zh-CN" b="1"/>
            <a:t>DE</a:t>
          </a:r>
          <a:r>
            <a:rPr lang="en-CA" altLang="zh-CN"/>
            <a:t>, the "Unknown" segment performed reliably with a </a:t>
          </a:r>
          <a:r>
            <a:rPr lang="en-CA" altLang="zh-CN" b="1"/>
            <a:t>$33.63 CPA</a:t>
          </a:r>
          <a:r>
            <a:rPr lang="en-CA" altLang="zh-CN"/>
            <a:t> and </a:t>
          </a:r>
          <a:r>
            <a:rPr lang="en-CA" altLang="zh-CN" b="1"/>
            <a:t>6.20% CVR</a:t>
          </a:r>
          <a:r>
            <a:rPr lang="en-CA" altLang="zh-CN"/>
            <a:t>.</a:t>
          </a:r>
        </a:p>
        <a:p>
          <a:r>
            <a:rPr lang="en-CA" altLang="zh-CN" b="1"/>
            <a:t>Insights</a:t>
          </a:r>
        </a:p>
        <a:p>
          <a:r>
            <a:rPr lang="en-CA" altLang="zh-CN" b="1"/>
            <a:t>Product Alignment:</a:t>
          </a:r>
          <a:r>
            <a:rPr lang="en-CA" altLang="zh-CN"/>
            <a:t> The Data Analytics (DA) offer resonates more strongly with a male demographic, potentially due to current market positioning or ad imagery. Conversely, the Data Engineering (DE) offer has unexpectedly high traction with women, achieving the lowest CPA in the entire dataset ($29.60), suggesting strong female demand for technical "hard skill" upskilling.</a:t>
          </a:r>
        </a:p>
        <a:p>
          <a:r>
            <a:rPr lang="en-CA" altLang="zh-CN" b="1"/>
            <a:t>Volume vs. Efficiency:</a:t>
          </a:r>
          <a:r>
            <a:rPr lang="en-CA" altLang="zh-CN"/>
            <a:t> While Males drive higher volume overall (37 vs 28 conversions), Females offer a hidden efficiency lever specifically within the DE program that is currently under-exploited.</a:t>
          </a:r>
        </a:p>
        <a:p>
          <a:r>
            <a:rPr lang="en-CA" altLang="zh-CN" b="1"/>
            <a:t>Trial Confirmation:</a:t>
          </a:r>
          <a:r>
            <a:rPr lang="en-CA" altLang="zh-CN"/>
            <a:t> The DA Trial campaign confirms the gender gap, with Males achieving a $32.77 CPA vs. Females at $71.82, validating that the DA offer's weakness with women is systemic, not a fluke.</a:t>
          </a:r>
        </a:p>
        <a:p>
          <a:r>
            <a:rPr lang="en-CA" altLang="zh-CN" b="1"/>
            <a:t>Suggestions</a:t>
          </a:r>
        </a:p>
        <a:p>
          <a:r>
            <a:rPr lang="en-CA" altLang="zh-CN" b="1"/>
            <a:t>Bid Strategy:</a:t>
          </a:r>
          <a:r>
            <a:rPr lang="en-CA" altLang="zh-CN"/>
            <a:t> Apply a </a:t>
          </a:r>
          <a:r>
            <a:rPr lang="en-CA" altLang="zh-CN" b="1"/>
            <a:t>+15% bid adjustment</a:t>
          </a:r>
          <a:r>
            <a:rPr lang="en-CA" altLang="zh-CN"/>
            <a:t> for </a:t>
          </a:r>
          <a:r>
            <a:rPr lang="en-CA" altLang="zh-CN" b="1"/>
            <a:t>Females in the DE Program</a:t>
          </a:r>
          <a:r>
            <a:rPr lang="en-CA" altLang="zh-CN"/>
            <a:t> to maximize volume at the highly efficient $29.60 CPA. Conversely, apply a </a:t>
          </a:r>
          <a:r>
            <a:rPr lang="en-CA" altLang="zh-CN" b="1"/>
            <a:t>+10% bid adjustment for Males in the DA Program</a:t>
          </a:r>
          <a:r>
            <a:rPr lang="en-CA" altLang="zh-CN"/>
            <a:t>.</a:t>
          </a:r>
        </a:p>
        <a:p>
          <a:r>
            <a:rPr lang="en-CA" altLang="zh-CN" b="1"/>
            <a:t>Creative Testing:</a:t>
          </a:r>
          <a:r>
            <a:rPr lang="en-CA" altLang="zh-CN"/>
            <a:t> Review the </a:t>
          </a:r>
          <a:r>
            <a:rPr lang="en-CA" altLang="zh-CN" b="1"/>
            <a:t>DA</a:t>
          </a:r>
          <a:r>
            <a:rPr lang="en-CA" altLang="zh-CN"/>
            <a:t> ad creative shown to women. The low CVR (7.78% vs 12.14% for men) suggests the messaging isn't landing. Test "DE-style" messaging (focus on technical skills/career rigidity) for women in the DA campaign.</a:t>
          </a:r>
        </a:p>
        <a:p>
          <a:r>
            <a:rPr lang="en-CA" altLang="zh-CN" b="1"/>
            <a:t>Exclude Waste:</a:t>
          </a:r>
          <a:r>
            <a:rPr lang="en-CA" altLang="zh-CN"/>
            <a:t> Exclude the </a:t>
          </a:r>
          <a:r>
            <a:rPr lang="en-CA" altLang="zh-CN" b="1"/>
            <a:t>"Unknown"</a:t>
          </a:r>
          <a:r>
            <a:rPr lang="en-CA" altLang="zh-CN"/>
            <a:t> gender category from the </a:t>
          </a:r>
          <a:r>
            <a:rPr lang="en-CA" altLang="zh-CN" b="1"/>
            <a:t>DA</a:t>
          </a:r>
          <a:r>
            <a:rPr lang="en-CA" altLang="zh-CN"/>
            <a:t> campaign immediately to cut waste, but retain it for </a:t>
          </a:r>
          <a:r>
            <a:rPr lang="en-CA" altLang="zh-CN" b="1"/>
            <a:t>DE</a:t>
          </a:r>
          <a:r>
            <a:rPr lang="en-CA" altLang="zh-CN"/>
            <a:t>.</a:t>
          </a:r>
        </a:p>
        <a:p>
          <a:endParaRPr lang="zh-CN" altLang="en-US" sz="1100"/>
        </a:p>
      </xdr:txBody>
    </xdr:sp>
    <xdr:clientData/>
  </xdr:twoCellAnchor>
  <xdr:twoCellAnchor>
    <xdr:from>
      <xdr:col>8</xdr:col>
      <xdr:colOff>16934</xdr:colOff>
      <xdr:row>71</xdr:row>
      <xdr:rowOff>0</xdr:rowOff>
    </xdr:from>
    <xdr:to>
      <xdr:col>16</xdr:col>
      <xdr:colOff>186267</xdr:colOff>
      <xdr:row>92</xdr:row>
      <xdr:rowOff>135467</xdr:rowOff>
    </xdr:to>
    <xdr:sp macro="" textlink="">
      <xdr:nvSpPr>
        <xdr:cNvPr id="7" name="文本框 6">
          <a:extLst>
            <a:ext uri="{FF2B5EF4-FFF2-40B4-BE49-F238E27FC236}">
              <a16:creationId xmlns:a16="http://schemas.microsoft.com/office/drawing/2014/main" id="{2CB38917-A0FF-D7A5-D7B1-C3AB8963AFE2}"/>
            </a:ext>
          </a:extLst>
        </xdr:cNvPr>
        <xdr:cNvSpPr txBox="1"/>
      </xdr:nvSpPr>
      <xdr:spPr>
        <a:xfrm>
          <a:off x="11463867" y="13224933"/>
          <a:ext cx="11294533" cy="4047067"/>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CA" altLang="zh-CN" b="1"/>
            <a:t>Observations</a:t>
          </a:r>
        </a:p>
        <a:p>
          <a:r>
            <a:rPr lang="en-CA" altLang="zh-CN" b="1"/>
            <a:t>"Lower 50%" Efficiency:</a:t>
          </a:r>
          <a:r>
            <a:rPr lang="en-CA" altLang="zh-CN"/>
            <a:t> The </a:t>
          </a:r>
          <a:r>
            <a:rPr lang="en-CA" altLang="zh-CN" b="1"/>
            <a:t>Lower 50%</a:t>
          </a:r>
          <a:r>
            <a:rPr lang="en-CA" altLang="zh-CN"/>
            <a:t> income bracket is the highest volume driver across all campaigns, generating </a:t>
          </a:r>
          <a:r>
            <a:rPr lang="en-CA" altLang="zh-CN" b="1"/>
            <a:t>31 conversions</a:t>
          </a:r>
          <a:r>
            <a:rPr lang="en-CA" altLang="zh-CN"/>
            <a:t> (42% of total) at a stable </a:t>
          </a:r>
          <a:r>
            <a:rPr lang="en-CA" altLang="zh-CN" b="1"/>
            <a:t>$32.75 CPA</a:t>
          </a:r>
          <a:r>
            <a:rPr lang="en-CA" altLang="zh-CN"/>
            <a:t>.</a:t>
          </a:r>
        </a:p>
        <a:p>
          <a:r>
            <a:rPr lang="en-CA" altLang="zh-CN" b="1"/>
            <a:t>"Top 10%" Divergence:</a:t>
          </a:r>
          <a:endParaRPr lang="en-CA" altLang="zh-CN"/>
        </a:p>
        <a:p>
          <a:pPr lvl="1"/>
          <a:r>
            <a:rPr lang="en-CA" altLang="zh-CN"/>
            <a:t>For the </a:t>
          </a:r>
          <a:r>
            <a:rPr lang="en-CA" altLang="zh-CN" b="1"/>
            <a:t>DE Program</a:t>
          </a:r>
          <a:r>
            <a:rPr lang="en-CA" altLang="zh-CN"/>
            <a:t>, the "Top 10%" tier is highly effective, delivering </a:t>
          </a:r>
          <a:r>
            <a:rPr lang="en-CA" altLang="zh-CN" b="1"/>
            <a:t>9 conversions</a:t>
          </a:r>
          <a:r>
            <a:rPr lang="en-CA" altLang="zh-CN"/>
            <a:t> at a remarkably low </a:t>
          </a:r>
          <a:r>
            <a:rPr lang="en-CA" altLang="zh-CN" b="1"/>
            <a:t>$24.84 CPA</a:t>
          </a:r>
          <a:r>
            <a:rPr lang="en-CA" altLang="zh-CN"/>
            <a:t>.</a:t>
          </a:r>
        </a:p>
        <a:p>
          <a:pPr lvl="1"/>
          <a:r>
            <a:rPr lang="en-CA" altLang="zh-CN"/>
            <a:t>For the </a:t>
          </a:r>
          <a:r>
            <a:rPr lang="en-CA" altLang="zh-CN" b="1"/>
            <a:t>DA Program</a:t>
          </a:r>
          <a:r>
            <a:rPr lang="en-CA" altLang="zh-CN"/>
            <a:t>, the "Top 10%" tier generated </a:t>
          </a:r>
          <a:r>
            <a:rPr lang="en-CA" altLang="zh-CN" b="1"/>
            <a:t>0 conversions</a:t>
          </a:r>
          <a:r>
            <a:rPr lang="en-CA" altLang="zh-CN"/>
            <a:t> despite spending budget, resulting in wasted spend (Infinite CPA).</a:t>
          </a:r>
        </a:p>
        <a:p>
          <a:r>
            <a:rPr lang="en-CA" altLang="zh-CN" b="1"/>
            <a:t>The "Middle Class" Squeeze:</a:t>
          </a:r>
          <a:r>
            <a:rPr lang="en-CA" altLang="zh-CN"/>
            <a:t> The middle-income tiers (</a:t>
          </a:r>
          <a:r>
            <a:rPr lang="en-CA" altLang="zh-CN" b="1"/>
            <a:t>21-30%</a:t>
          </a:r>
          <a:r>
            <a:rPr lang="en-CA" altLang="zh-CN"/>
            <a:t> and </a:t>
          </a:r>
          <a:r>
            <a:rPr lang="en-CA" altLang="zh-CN" b="1"/>
            <a:t>31-40%</a:t>
          </a:r>
          <a:r>
            <a:rPr lang="en-CA" altLang="zh-CN"/>
            <a:t>) are the least efficient.</a:t>
          </a:r>
        </a:p>
        <a:p>
          <a:pPr lvl="1"/>
          <a:r>
            <a:rPr lang="en-CA" altLang="zh-CN" b="1"/>
            <a:t>21-30%:</a:t>
          </a:r>
          <a:r>
            <a:rPr lang="en-CA" altLang="zh-CN"/>
            <a:t> </a:t>
          </a:r>
          <a:r>
            <a:rPr lang="en-CA" altLang="zh-CN" b="1"/>
            <a:t>$260 CPA</a:t>
          </a:r>
          <a:r>
            <a:rPr lang="en-CA" altLang="zh-CN"/>
            <a:t> (8x higher than average).</a:t>
          </a:r>
        </a:p>
        <a:p>
          <a:pPr lvl="1"/>
          <a:r>
            <a:rPr lang="en-CA" altLang="zh-CN" b="1"/>
            <a:t>31-40%:</a:t>
          </a:r>
          <a:r>
            <a:rPr lang="en-CA" altLang="zh-CN"/>
            <a:t> </a:t>
          </a:r>
          <a:r>
            <a:rPr lang="en-CA" altLang="zh-CN" b="1"/>
            <a:t>$75 CPA</a:t>
          </a:r>
          <a:r>
            <a:rPr lang="en-CA" altLang="zh-CN"/>
            <a:t> (2x higher than average).</a:t>
          </a:r>
        </a:p>
        <a:p>
          <a:r>
            <a:rPr lang="en-CA" altLang="zh-CN" b="1"/>
            <a:t>"Unknown" Variance:</a:t>
          </a:r>
          <a:r>
            <a:rPr lang="en-CA" altLang="zh-CN"/>
            <a:t> Similar to age/gender, the "Unknown" income segment performs poorly for DA ($349 CPA) but efficiently for DE ($33 CPA).</a:t>
          </a:r>
        </a:p>
        <a:p>
          <a:r>
            <a:rPr lang="en-CA" altLang="zh-CN" b="1"/>
            <a:t>Insights</a:t>
          </a:r>
        </a:p>
        <a:p>
          <a:r>
            <a:rPr lang="en-CA" altLang="zh-CN" b="1"/>
            <a:t>Economic Motivation:</a:t>
          </a:r>
          <a:r>
            <a:rPr lang="en-CA" altLang="zh-CN"/>
            <a:t> The </a:t>
          </a:r>
          <a:r>
            <a:rPr lang="en-CA" altLang="zh-CN" b="1"/>
            <a:t>Lower 50%</a:t>
          </a:r>
          <a:r>
            <a:rPr lang="en-CA" altLang="zh-CN"/>
            <a:t> segment is consistently the strongest performer likely because the value proposition of an ISA (Income Share Agreement) or career pivot appeals most to those seeking upward economic mobility.</a:t>
          </a:r>
        </a:p>
        <a:p>
          <a:r>
            <a:rPr lang="en-CA" altLang="zh-CN" b="1"/>
            <a:t>Product-Market Fit:</a:t>
          </a:r>
          <a:endParaRPr lang="en-CA" altLang="zh-CN"/>
        </a:p>
        <a:p>
          <a:pPr lvl="1"/>
          <a:r>
            <a:rPr lang="en-CA" altLang="zh-CN" b="1"/>
            <a:t>DE (Data Engineering):</a:t>
          </a:r>
          <a:r>
            <a:rPr lang="en-CA" altLang="zh-CN"/>
            <a:t> Appeals to both "Lower 50%" (career starters) and "Top 10%" (high-earners upskilling for tech roles). The dual appeal makes it a robust campaign.</a:t>
          </a:r>
        </a:p>
        <a:p>
          <a:pPr lvl="1"/>
          <a:r>
            <a:rPr lang="en-CA" altLang="zh-CN" b="1"/>
            <a:t>DA (Data Analytics):</a:t>
          </a:r>
          <a:r>
            <a:rPr lang="en-CA" altLang="zh-CN"/>
            <a:t> Fails to convert high earners ("Top 10%"). It is strictly a "mobility" product for lower-income tiers.</a:t>
          </a:r>
        </a:p>
        <a:p>
          <a:r>
            <a:rPr lang="en-CA" altLang="zh-CN" b="1"/>
            <a:t>Middle-Tier Friction:</a:t>
          </a:r>
          <a:r>
            <a:rPr lang="en-CA" altLang="zh-CN"/>
            <a:t> The inefficiency in the </a:t>
          </a:r>
          <a:r>
            <a:rPr lang="en-CA" altLang="zh-CN" b="1"/>
            <a:t>21-40%</a:t>
          </a:r>
          <a:r>
            <a:rPr lang="en-CA" altLang="zh-CN"/>
            <a:t> brackets suggests these users may be in "comfortable" roles with less urgency to pivot compared to the Lower 50%, or less disposable income/time than the Top 10%.</a:t>
          </a:r>
        </a:p>
        <a:p>
          <a:r>
            <a:rPr lang="en-CA" altLang="zh-CN" b="1"/>
            <a:t>Suggestions</a:t>
          </a:r>
        </a:p>
        <a:p>
          <a:r>
            <a:rPr lang="en-CA" altLang="zh-CN" b="1"/>
            <a:t>Bid Strategy (Polarized):</a:t>
          </a:r>
          <a:r>
            <a:rPr lang="en-CA" altLang="zh-CN"/>
            <a:t> Adopt a "Barbell Strategy" for the </a:t>
          </a:r>
          <a:r>
            <a:rPr lang="en-CA" altLang="zh-CN" b="1"/>
            <a:t>DE Program</a:t>
          </a:r>
          <a:r>
            <a:rPr lang="en-CA" altLang="zh-CN"/>
            <a:t>: Increase bids by </a:t>
          </a:r>
          <a:r>
            <a:rPr lang="en-CA" altLang="zh-CN" b="1"/>
            <a:t>+15%</a:t>
          </a:r>
          <a:r>
            <a:rPr lang="en-CA" altLang="zh-CN"/>
            <a:t> for both </a:t>
          </a:r>
          <a:r>
            <a:rPr lang="en-CA" altLang="zh-CN" b="1"/>
            <a:t>Top 10%</a:t>
          </a:r>
          <a:r>
            <a:rPr lang="en-CA" altLang="zh-CN"/>
            <a:t> and </a:t>
          </a:r>
          <a:r>
            <a:rPr lang="en-CA" altLang="zh-CN" b="1"/>
            <a:t>Lower 50%</a:t>
          </a:r>
          <a:r>
            <a:rPr lang="en-CA" altLang="zh-CN"/>
            <a:t>, while decreasing bids by </a:t>
          </a:r>
          <a:r>
            <a:rPr lang="en-CA" altLang="zh-CN" b="1"/>
            <a:t>-30%</a:t>
          </a:r>
          <a:r>
            <a:rPr lang="en-CA" altLang="zh-CN"/>
            <a:t> for the inefficient </a:t>
          </a:r>
          <a:r>
            <a:rPr lang="en-CA" altLang="zh-CN" b="1"/>
            <a:t>21-40%</a:t>
          </a:r>
          <a:r>
            <a:rPr lang="en-CA" altLang="zh-CN"/>
            <a:t> middle tiers.</a:t>
          </a:r>
        </a:p>
        <a:p>
          <a:r>
            <a:rPr lang="en-CA" altLang="zh-CN" b="1"/>
            <a:t>Exclude Wealth for DA:</a:t>
          </a:r>
          <a:r>
            <a:rPr lang="en-CA" altLang="zh-CN"/>
            <a:t> For the </a:t>
          </a:r>
          <a:r>
            <a:rPr lang="en-CA" altLang="zh-CN" b="1"/>
            <a:t>DA Program</a:t>
          </a:r>
          <a:r>
            <a:rPr lang="en-CA" altLang="zh-CN"/>
            <a:t>, exclude the </a:t>
          </a:r>
          <a:r>
            <a:rPr lang="en-CA" altLang="zh-CN" b="1"/>
            <a:t>Top 10%</a:t>
          </a:r>
          <a:r>
            <a:rPr lang="en-CA" altLang="zh-CN"/>
            <a:t> income tier entirely. Historical data shows they do not convert ($48 spent, 0 return), likely because the offer isn't "premium" enough for them.</a:t>
          </a:r>
        </a:p>
        <a:p>
          <a:r>
            <a:rPr lang="en-CA" altLang="zh-CN" b="1"/>
            <a:t>Focus on "Strivers":</a:t>
          </a:r>
          <a:r>
            <a:rPr lang="en-CA" altLang="zh-CN"/>
            <a:t> Consolidate budget toward the </a:t>
          </a:r>
          <a:r>
            <a:rPr lang="en-CA" altLang="zh-CN" b="1"/>
            <a:t>Lower 50%</a:t>
          </a:r>
          <a:r>
            <a:rPr lang="en-CA" altLang="zh-CN"/>
            <a:t> across all campaigns as the most reliable volume driver ($32.75 CPA).</a:t>
          </a:r>
        </a:p>
        <a:p>
          <a:endParaRPr lang="zh-CN" alt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rui shang" refreshedDate="46027.12600960648" createdVersion="8" refreshedVersion="8" minRefreshableVersion="3" recordCount="28" xr:uid="{DCE3801A-2E4D-487D-AA9F-4245547B9175}">
  <cacheSource type="worksheet">
    <worksheetSource name="Table1"/>
  </cacheSource>
  <cacheFields count="16">
    <cacheField name="Network (with search partners)" numFmtId="0">
      <sharedItems count="2">
        <s v="Google Search"/>
        <s v="Search partners"/>
      </sharedItems>
    </cacheField>
    <cacheField name="Click type" numFmtId="0">
      <sharedItems/>
    </cacheField>
    <cacheField name="Device" numFmtId="0">
      <sharedItems count="3">
        <s v="Tablets"/>
        <s v="Computers"/>
        <s v="Mobile phones"/>
      </sharedItems>
    </cacheField>
    <cacheField name="Campaign status" numFmtId="0">
      <sharedItems/>
    </cacheField>
    <cacheField name="Campaign" numFmtId="0">
      <sharedItems count="3">
        <s v="FY23_Brave_ISA_DA Program_National_Generic"/>
        <s v="FY24_Brave_ISA_DE Program_National_Generic"/>
        <s v="FY23_Brave_ISA_DA Program_National_Generic  Trial 836"/>
      </sharedItems>
    </cacheField>
    <cacheField name="Budget" numFmtId="0">
      <sharedItems containsSemiMixedTypes="0" containsString="0" containsNumber="1" minValue="10.92" maxValue="16.670000000000002"/>
    </cacheField>
    <cacheField name="Campaign type" numFmtId="0">
      <sharedItems/>
    </cacheField>
    <cacheField name="Clicks" numFmtId="0">
      <sharedItems containsSemiMixedTypes="0" containsString="0" containsNumber="1" containsInteger="1" minValue="0" maxValue="236"/>
    </cacheField>
    <cacheField name="Impr." numFmtId="0">
      <sharedItems containsSemiMixedTypes="0" containsString="0" containsNumber="1" containsInteger="1" minValue="12" maxValue="8500"/>
    </cacheField>
    <cacheField name="CTR" numFmtId="10">
      <sharedItems containsSemiMixedTypes="0" containsString="0" containsNumber="1" minValue="0" maxValue="0.1333"/>
    </cacheField>
    <cacheField name="Currency code" numFmtId="0">
      <sharedItems/>
    </cacheField>
    <cacheField name="Cost" numFmtId="0">
      <sharedItems containsSemiMixedTypes="0" containsString="0" containsNumber="1" minValue="0" maxValue="883.59"/>
    </cacheField>
    <cacheField name="Conversions" numFmtId="0">
      <sharedItems containsSemiMixedTypes="0" containsString="0" containsNumber="1" minValue="0" maxValue="17"/>
    </cacheField>
    <cacheField name="Cost / conv." numFmtId="0">
      <sharedItems containsSemiMixedTypes="0" containsString="0" containsNumber="1" minValue="0" maxValue="118.38"/>
    </cacheField>
    <cacheField name="Conv. rate" numFmtId="0">
      <sharedItems containsSemiMixedTypes="0" containsString="0" containsNumber="1" minValue="0" maxValue="0.5"/>
    </cacheField>
    <cacheField name="Avg.CPC" numFmtId="0">
      <sharedItems containsSemiMixedTypes="0" containsString="0" containsNumber="1" minValue="0" maxValue="6.4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rui shang" refreshedDate="46027.18924699074" createdVersion="8" refreshedVersion="8" minRefreshableVersion="3" recordCount="14" xr:uid="{9F45FA64-69C2-4CCB-BEED-B87FF5B86260}">
  <cacheSource type="worksheet">
    <worksheetSource name="Table57"/>
  </cacheSource>
  <cacheFields count="13">
    <cacheField name="Campaign" numFmtId="0">
      <sharedItems/>
    </cacheField>
    <cacheField name="Ad group status" numFmtId="0">
      <sharedItems/>
    </cacheField>
    <cacheField name="Ad group" numFmtId="0">
      <sharedItems count="8">
        <s v="Career"/>
        <s v="Mentorship"/>
        <s v="Training"/>
        <s v="Bootcamp"/>
        <s v="Near me(location)"/>
        <s v="Job Guarantee"/>
        <s v="DA Bootcamp"/>
        <s v="BA Bootcamp"/>
      </sharedItems>
    </cacheField>
    <cacheField name="Status" numFmtId="0">
      <sharedItems/>
    </cacheField>
    <cacheField name="Conversions" numFmtId="0">
      <sharedItems containsSemiMixedTypes="0" containsString="0" containsNumber="1" minValue="0" maxValue="27"/>
    </cacheField>
    <cacheField name="Cost / conv." numFmtId="0">
      <sharedItems containsSemiMixedTypes="0" containsString="0" containsNumber="1" minValue="0" maxValue="196.57"/>
    </cacheField>
    <cacheField name="Ad group type" numFmtId="0">
      <sharedItems/>
    </cacheField>
    <cacheField name="Clicks" numFmtId="0">
      <sharedItems containsSemiMixedTypes="0" containsString="0" containsNumber="1" containsInteger="1" minValue="0" maxValue="286"/>
    </cacheField>
    <cacheField name="Impr." numFmtId="0">
      <sharedItems containsSemiMixedTypes="0" containsString="0" containsNumber="1" containsInteger="1" minValue="0" maxValue="13727"/>
    </cacheField>
    <cacheField name="CTR" numFmtId="0">
      <sharedItems containsSemiMixedTypes="0" containsString="0" containsNumber="1" minValue="0" maxValue="7.4700000000000003E-2"/>
    </cacheField>
    <cacheField name="Avg. CPC" numFmtId="0">
      <sharedItems containsSemiMixedTypes="0" containsString="0" containsNumber="1" minValue="0" maxValue="6.51"/>
    </cacheField>
    <cacheField name="Cost" numFmtId="178">
      <sharedItems containsSemiMixedTypes="0" containsString="0" containsNumber="1" minValue="0" maxValue="1195.0999999999999"/>
    </cacheField>
    <cacheField name="Conv. rate" numFmtId="10">
      <sharedItems containsSemiMixedTypes="0" containsString="0" containsNumber="1" minValue="0" maxValue="0.142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27.856342013889" createdVersion="8" refreshedVersion="8" minRefreshableVersion="3" recordCount="707" xr:uid="{49076539-A723-E741-B658-5BB50A1C86D8}">
  <cacheSource type="worksheet">
    <worksheetSource name="表2"/>
  </cacheSource>
  <cacheFields count="21">
    <cacheField name="Campaign" numFmtId="0">
      <sharedItems count="3">
        <s v="FY23_Brave_ISA_DA Program_National_Generic"/>
        <s v="FY23_Brave_ISA_DA Program_National_Generic Trial 836 "/>
        <s v="FY24_Brave_ISA_DE Program_National_Generic"/>
      </sharedItems>
    </cacheField>
    <cacheField name="Keyword status" numFmtId="0">
      <sharedItems/>
    </cacheField>
    <cacheField name="Keyword" numFmtId="0">
      <sharedItems count="416">
        <s v="the data analyst course complete data analyst bootcamp 2023 course"/>
        <s v="&quot;python and tableau the complete data analytics bootcamp&quot;"/>
        <s v="[data analytics mentorship]"/>
        <s v="best bootcamp for data analyst"/>
        <s v="&quot;best data analytics bootcamp 2023&quot;"/>
        <s v="[data analyst mentorship]"/>
        <s v="online data analyst bootcamp"/>
        <s v="&quot;data analyst mentorship&quot;"/>
        <s v="data analyst online bootcamp"/>
        <s v="[best tableau bootcamp]"/>
        <s v="best tableau bootcamp"/>
        <s v="[data analytics bootcamp for beginners]"/>
        <s v="data analytics bootcamp"/>
        <s v="the data analyst course complete data analyst bootcamp 2023"/>
        <s v="[data analysis bootcamps]"/>
        <s v="data analytics mentorship"/>
        <s v="&quot;the data analyst course complete data analyst bootcamp 2023&quot;"/>
        <s v="data analyst bootcamp"/>
        <s v="[online data analyst bootcamp]"/>
        <s v="[best bootcamp for data analytics]"/>
        <s v="data analysis bootcamps"/>
        <s v="[best bootcamp for data analyst]"/>
        <s v="&quot;data analytics bootcamp for beginners&quot;"/>
        <s v="python and tableau the complete data analytics bootcamp"/>
        <s v="best data analytics bootcamps 2023"/>
        <s v="[the data analyst course complete data analyst bootcamp 2023 course]"/>
        <s v="&quot;data analysis bootcamps&quot;"/>
        <s v="&quot;data analytics mentorship&quot;"/>
        <s v="&quot;online data analyst bootcamp&quot;"/>
        <s v="[best data analytics bootcamps 2023]"/>
        <s v="data analytics bootcamp for beginners"/>
        <s v="[data analyst online bootcamp]"/>
        <s v="best data analytics bootcamp 2023"/>
        <s v="&quot;best bootcamp for data analyst&quot;"/>
        <s v="&quot;data analyst bootcamp&quot;"/>
        <s v="data analyst mentorship"/>
        <s v="&quot;skills bootcamp data analyst&quot;"/>
        <s v="&quot;best tableau bootcamp&quot;"/>
        <s v="[data analytics bootcamp]"/>
        <s v="&quot;best bootcamp for data analytics&quot;"/>
        <s v="skills bootcamp data analyst"/>
        <s v="&quot;data analytics bootcamp&quot;"/>
        <s v="[skills bootcamp data analyst]"/>
        <s v="[data analyst bootcamp]"/>
        <s v="[python and tableau the complete data analytics bootcamp]"/>
        <s v="best bootcamp for data analytics"/>
        <s v="best data analytics bootcamp"/>
        <s v="&quot;data analyst online bootcamp&quot;"/>
        <s v="best big data training"/>
        <s v="product analytics training"/>
        <s v="google data analytics instructors"/>
        <s v="learn data analysis online"/>
        <s v="[analytics training]"/>
        <s v="big data training online"/>
        <s v="best website to learn big data"/>
        <s v="business analytics online training"/>
        <s v="learning tableau 2022"/>
        <s v="big data training and placement"/>
        <s v="data analyst training online"/>
        <s v="business intelligence manager training"/>
        <s v="best site to learn big data"/>
        <s v="business analyst training with placement"/>
        <s v="learn data analysis with python"/>
        <s v="healthcare data analytics training"/>
        <s v="business intelligence software training"/>
        <s v="bi analyst training"/>
        <s v="learn big data online"/>
        <s v="business analysis with excel"/>
        <s v="learn big data analytics"/>
        <s v="data security analyst training"/>
        <s v="business analytics training online"/>
        <s v="social media analytics training"/>
        <s v="data analytics coaching near me"/>
        <s v="learn data analytics online"/>
        <s v="comptia data analysis"/>
        <s v="sql training for data analyst"/>
        <s v="&quot;entry level data analyst training&quot;"/>
        <s v="data and analytics training"/>
        <s v="data analytics coaching"/>
        <s v="[data analyst online training]"/>
        <s v="comptia data analyst"/>
        <s v="health data analyst training"/>
        <s v="big data e learning"/>
        <s v="[business data analyst training]"/>
        <s v="best data analyst training"/>
        <s v="python data analysis training"/>
        <s v="data analyst linkedin learning"/>
        <s v="business analytics with excel simplilearn"/>
        <s v="data analyst training and placement near me"/>
        <s v="digital analytics training"/>
        <s v="[data analytics online training]"/>
        <s v="best big data training online"/>
        <s v="business intelligence and analytics training"/>
        <s v="analytics training"/>
        <s v="healthcare analyst training"/>
        <s v="&quot;database analyst training&quot;"/>
        <s v="business intelligence analyst training"/>
        <s v="data analysis training for beginners"/>
        <s v="medical data analyst training"/>
        <s v="ba training near me"/>
        <s v="data analyst coaching"/>
        <s v="&quot;analytical training institute&quot;"/>
        <s v="google data training"/>
        <s v="data analysis training program"/>
        <s v="big data corporate training"/>
        <s v="sql analyst training"/>
        <s v="junior data analyst training"/>
        <s v="data analyst online training"/>
        <s v="&quot;business analytics training online&quot;"/>
        <s v="analytics translator training"/>
        <s v="data analytics training and placement"/>
        <s v="workforce analytics training"/>
        <s v="business intelligence analysis training"/>
        <s v="data analytics &amp; business intelligence digiskills"/>
        <s v="[business analytics training online]"/>
        <s v="data analysis online training"/>
        <s v="data analysis training near me"/>
        <s v="data analytics using excel great learning"/>
        <s v="data analytics online training"/>
        <s v="marketing analytics training"/>
        <s v="[data analysis of training and development]"/>
        <s v="&quot;data analyst online training&quot;"/>
        <s v="oracle analytics training"/>
        <s v="business analytics great learning"/>
        <s v="skillshare data visualization"/>
        <s v="&quot;business data analyst training&quot;"/>
        <s v="data analyst kursus"/>
        <s v="data analytics training for beginners"/>
        <s v="data analysis training and placement"/>
        <s v="digiskills data analytics and business intelligence"/>
        <s v="data analyst e learning"/>
        <s v="data analytics and learning"/>
        <s v="certified analytics professional training"/>
        <s v="sas visual analytics training"/>
        <s v="data analytics and training"/>
        <s v="data analytics and business intelligence digiskills"/>
        <s v="healthcare analytics training"/>
        <s v="data analyst training and placement"/>
        <s v="data analysis industry training program"/>
        <s v="big data training near me"/>
        <s v="business analytics training"/>
        <s v="&quot;analytics training&quot;"/>
        <s v="big data analytics training and placement"/>
        <s v="microsoft power bi data analyst training"/>
        <s v="data quality analyst training"/>
        <s v="&quot;data analytics bootcamp job guarantee&quot;"/>
        <s v="[data analyst bootcamp job guarantee]"/>
        <s v="data analyst bootcamp job guarantee"/>
        <s v="&quot;data analytics bootcamp with job guarantee&quot;"/>
        <s v="data analytics bootcamp with job guarantee"/>
        <s v="data analytics bootcamp job guarantee"/>
        <s v="&quot;data analyst bootcamp job guarantee&quot;"/>
        <s v="[data analytics bootcamp job guarantee]"/>
        <s v="[data analytics bootcamp with job guarantee]"/>
        <s v="data analyst training program"/>
        <s v="business intelligence analyst training online"/>
        <s v="data analytics great learning"/>
        <s v="financial analytics training"/>
        <s v="big data scientist training"/>
        <s v="paid data analyst training"/>
        <s v="power bi service training"/>
        <s v="e learning data analyst"/>
        <s v="learn tableau for data analysis"/>
        <s v="&quot;data analytics online training&quot;"/>
        <s v="data analyst learn online"/>
        <s v="google training data analyst"/>
        <s v="&quot;learning and development data analytics&quot;"/>
        <s v="e learning and data analytics lab"/>
        <s v="healthcare data analyst training"/>
        <s v="data collection training"/>
        <s v="clinical data analyst training"/>
        <s v="[database analyst training]"/>
        <s v="data analysis coaching"/>
        <s v="data analytics training for auditors"/>
        <s v="data analyst great learning"/>
        <s v="[statistical analysis training]"/>
        <s v="sql training for business analysts"/>
        <s v="google training data analytics"/>
        <s v="data analytics training program"/>
        <s v="learn business analytics online"/>
        <s v="google data analytics training"/>
        <s v="planning analytics training"/>
        <s v="&quot;data analyst coaching&quot;"/>
        <s v="data analytics in training and development"/>
        <s v="best business analytics training"/>
        <s v="data analyst training near me"/>
        <s v="data analytics training near me"/>
        <s v="analytical training institute"/>
        <s v="insight analyst training"/>
        <s v="[analytical training institute]"/>
        <s v="[data analyst coaching]"/>
        <s v="big data analytics training"/>
        <s v="online analytics training"/>
        <s v="entry level data analyst training"/>
        <s v="retail analytics training"/>
        <s v="big data hands on training"/>
        <s v="hr analytics training program"/>
        <s v="data analytics linkedin learning"/>
        <s v="data analysis of online learning"/>
        <s v="learn data analyst"/>
        <s v="excel in business analytics"/>
        <s v="best site to learn data analysis"/>
        <s v="data analytics digiskills"/>
        <s v="tableau certified data analyst training"/>
        <s v="[business analytics training]"/>
        <s v="big data learning"/>
        <s v="[learning and development data analytics]"/>
        <s v="healthcare data analysis training"/>
        <s v="big data analytics online training"/>
        <s v="learn ms excel for data analysis"/>
        <s v="data analytics professional"/>
        <s v="linkedin learning data analyst"/>
        <s v="analytics in learning and development"/>
        <s v="&quot;business analytics training&quot;"/>
        <s v="e learning data analysis"/>
        <s v="people analytics training"/>
        <s v="business intelligence and data analytics training"/>
        <s v="analytics training programs"/>
        <s v="hr data analytics training"/>
        <s v="learn business analytics"/>
        <s v="big data training"/>
        <s v="[entry level data analyst training]"/>
        <s v="data analytics learning"/>
        <s v="big data and analytics training"/>
        <s v="data insights training"/>
        <s v="advanced tableau training"/>
        <s v="data analyst learning"/>
        <s v="learning and development data analytics"/>
        <s v="google analytics online training"/>
        <s v="big data analytics training program"/>
        <s v="data analysis of training and development"/>
        <s v="trainity data analytics"/>
        <s v="data analyst and training grow with google"/>
        <s v="learn einstein analytics salesforce"/>
        <s v="data analyst training for beginners"/>
        <s v="best data analytics training"/>
        <s v="data analyst coaching near me"/>
        <s v="best way to learn python for data analysis"/>
        <s v="&quot;statistical analysis training&quot;"/>
        <s v="data analyst trainee"/>
        <s v="business analytics training near me"/>
        <s v="data analytics training"/>
        <s v="big data developer training"/>
        <s v="[paid data analyst training]"/>
        <s v="business data analyst training"/>
        <s v="data analytics in learning and development"/>
        <s v="analytics coaching"/>
        <s v="&quot;data analysis of training and development&quot;"/>
        <s v="analytics learning"/>
        <s v="data analysis using python"/>
        <s v="statistical analysis training"/>
        <s v="big data analytics in e learning"/>
        <s v="[data analyst coaching near me]"/>
        <s v="[data analyst bootcamp near me]"/>
        <s v="&quot;data analysis training near me&quot;"/>
        <s v="&quot;data analyst bootcamp near me&quot;"/>
        <s v="&quot;data analyst coaching near me&quot;"/>
        <s v="data analyst bootcamp near me"/>
        <s v="[data analysis training near me]"/>
        <s v="bootcamp business analytics"/>
        <s v="[business intelligence boot camp]"/>
        <s v="&quot;business intelligence boot camp&quot;"/>
        <s v="&quot;business analytics bootcamp&quot;"/>
        <s v="bootcamp for business analyst"/>
        <s v="business intelligence boot camp"/>
        <s v="&quot;best business analytics bootcamp&quot;"/>
        <s v="&quot;bootcamp business analytics&quot;"/>
        <s v="&quot;bootcamp for business analyst&quot;"/>
        <s v="&quot;online business intelligence bootcamp&quot;"/>
        <s v="[bootcamp business analytics]"/>
        <s v="online business intelligence bootcamp"/>
        <s v="[bootcamp for business analyst]"/>
        <s v="[online business intelligence bootcamp]"/>
        <s v="business analyst boot camp"/>
        <s v="&quot;business intelligence analyst bootcamp&quot;"/>
        <s v="business analytics bootcamp"/>
        <s v="best business analytics bootcamp"/>
        <s v="[business analytics bootcamp]"/>
        <s v="[best business analytics bootcamp]"/>
        <s v="business analyst bootcamp"/>
        <s v="[business intelligence analyst bootcamp]"/>
        <s v="business intelligence analyst bootcamp"/>
        <s v="training to be a data analyst"/>
        <s v="excel training for data analysis"/>
        <s v="database analyst training"/>
        <s v="&quot;transition to data engineers&quot;"/>
        <s v="switch career to data engineering"/>
        <s v="transition to data engineers"/>
        <s v="[get into data engineering]"/>
        <s v="career change to data engineer"/>
        <s v="&quot;become a data engineer&quot;"/>
        <s v="[transition to data engineers]"/>
        <s v="get into data engineering"/>
        <s v="[data engineer career growth]"/>
        <s v="&quot;data engineering career planning&quot;"/>
        <s v="data engineer career training"/>
        <s v="&quot;data engineer career growth&quot;"/>
        <s v="data engineer career coach"/>
        <s v="data engineer course with placement"/>
        <s v="&quot;data engineering career roadmap&quot;"/>
        <s v="[become a data engineer]"/>
        <s v="data engineering career planning"/>
        <s v="[switch career to data engineering]"/>
        <s v="data engineer career growth"/>
        <s v="[data engineer career coach]"/>
        <s v="&quot;data engineering career path&quot;"/>
        <s v="&quot;get into data engineering&quot;"/>
        <s v="data engineering career path"/>
        <s v="[career change to data engineer]"/>
        <s v="data engineer training and placement"/>
        <s v="become a data engineer"/>
        <s v="&quot;switch career to data engineering&quot;"/>
        <s v="&quot;data engineer career training&quot;"/>
        <s v="[data engineering career planning]"/>
        <s v="&quot;career change to data engineer&quot;"/>
        <s v="data engineering career roadmap"/>
        <s v="[data engineering career path]"/>
        <s v="&quot;data engineer career coach&quot;"/>
        <s v="[data engineering career roadmap]"/>
        <s v="[data engineer career training]"/>
        <s v="&quot;mentors for data engineering training&quot;"/>
        <s v="data engineering coaching"/>
        <s v="big data mentorship"/>
        <s v="mentors for transitioning to data engineer"/>
        <s v="&quot;data engineering mentorship program&quot;"/>
        <s v="[mentors for data engineering training]"/>
        <s v="&quot;big data mentorship&quot;"/>
        <s v="[mentors for transitioning to data engineer]"/>
        <s v="data engineering mentorship program"/>
        <s v="[online mentorship for data engineering]"/>
        <s v="online mentorship for data engineering"/>
        <s v="[data engineering coaching]"/>
        <s v="&quot;data engineering coaching&quot;"/>
        <s v="&quot;data engineer career advisor&quot;"/>
        <s v="top data engineering mentors review"/>
        <s v="&quot;online mentorship for data engineering&quot;"/>
        <s v="&quot;mentors for transitioning to data engineer&quot;"/>
        <s v="[data engineer career advisor]"/>
        <s v="data engineering mentors"/>
        <s v="mentors for data engineering training"/>
        <s v="&quot;data engineering mentors&quot;"/>
        <s v="&quot;top data engineering mentors review&quot;"/>
        <s v="data engineer career advisor"/>
        <s v="[data engineering mentors]"/>
        <s v="[top data engineering mentors review]"/>
        <s v="[big data mentorship]"/>
        <s v="[data engineering mentorship program]"/>
        <s v="[courses for transitioning to data engineering]"/>
        <s v="[best online course for data engineering]"/>
        <s v="[big data training courses]"/>
        <s v="data engineering courses"/>
        <s v="online data engineering courses"/>
        <s v="[12-week data engineering training]"/>
        <s v="data engineering fundamentals"/>
        <s v="big data training courses"/>
        <s v="best online course for data engineering"/>
        <s v="12-week data engineering training"/>
        <s v="courses for transitioning to data engineering"/>
        <s v="[data engineering training courses]"/>
        <s v="[online data engineering courses]"/>
        <s v="&quot;online data engineering courses&quot;"/>
        <s v="&quot;best online course for data engineering&quot;"/>
        <s v="data engineering jobs ready training"/>
        <s v="&quot;courses for transitioning to data engineering&quot;"/>
        <s v="big data engineer course"/>
        <s v="[data engineering jobs ready training]"/>
        <s v="[data engineering fundamentals]"/>
        <s v="&quot;data engineering training courses&quot;"/>
        <s v="data engineering training courses"/>
        <s v="&quot;big data training courses&quot;"/>
        <s v="&quot;data engineering fundamentals&quot;"/>
        <s v="&quot;data engineering jobs ready training&quot;"/>
        <s v="&quot;12-week data engineering training&quot;"/>
        <s v="[data engineer bootcamp cost]"/>
        <s v="[data engineer training bootcamp]"/>
        <s v="[top data engineering bootcamp 2023]"/>
        <s v="big data engineer bootcamp"/>
        <s v="&quot;data engineer training bootcamp&quot;"/>
        <s v="&quot;online data engineering bootcamp&quot;"/>
        <s v="&quot;data engineering bootcamp canada&quot;"/>
        <s v="bootcamp for data engineer jobs"/>
        <s v="bootcamp for transitioning to data engineer"/>
        <s v="is data engineering bootcamp worth it"/>
        <s v="[data engineer bootcamp curriculum]"/>
        <s v="affordable data engineering bootcamp"/>
        <s v="data engineer training bootcamp"/>
        <s v="&quot;affordable data engineering bootcamp&quot;"/>
        <s v="data engineering bootcamp"/>
        <s v="&quot;is data engineering bootcamp worth it&quot;"/>
        <s v="&quot;data engineering bootcamp part time&quot;"/>
        <s v="[bootcamp for transitioning to data engineer]"/>
        <s v="data engineer bootcamp cost"/>
        <s v="[bootcamp for data engineer jobs]"/>
        <s v="&quot;12-week data engineering bootcamp&quot;"/>
        <s v="data engineer bootcamp curriculum"/>
        <s v="[best data engineering bootcamp]"/>
        <s v="&quot;top data engineering bootcamp 2023&quot;"/>
        <s v="[data engineering bootcamp part time]"/>
        <s v="&quot;big data engineer bootcamp&quot;"/>
        <s v="[online data engineering bootcamp]"/>
        <s v="&quot;data engineer bootcamp curriculum&quot;"/>
        <s v="data engineering bootcamp canada"/>
        <s v="[affordable data engineering bootcamp]"/>
        <s v="&quot;bootcamp for data engineer jobs&quot;"/>
        <s v="[is data engineering bootcamp worth it]"/>
        <s v="&quot;data engineer bootcamp cost&quot;"/>
        <s v="best data engineering bootcamp"/>
        <s v="&quot;best data engineering bootcamp&quot;"/>
        <s v="online data engineering bootcamp"/>
        <s v="[data engineering bootcamp canada]"/>
        <s v="top data engineering bootcamp 2023"/>
        <s v="[big data engineer bootcamp]"/>
        <s v="12-week data engineering bootcamp"/>
        <s v="data engineering bootcamp part time"/>
        <s v="&quot;bootcamp for transitioning to data engineer&quot;"/>
        <s v="[12-week data engineering bootcamp]"/>
      </sharedItems>
    </cacheField>
    <cacheField name="Match type" numFmtId="0">
      <sharedItems count="3">
        <s v="Broad match"/>
        <s v="Phrase match"/>
        <s v="Exact match"/>
      </sharedItems>
    </cacheField>
    <cacheField name="Ad group" numFmtId="0">
      <sharedItems count="8">
        <s v="DA Bootcamp"/>
        <s v="Training"/>
        <s v="Job Guarantee"/>
        <s v="Near me(location)"/>
        <s v="BA Bootcamp"/>
        <s v="Career"/>
        <s v="Mentorship"/>
        <s v="Bootcamp"/>
      </sharedItems>
    </cacheField>
    <cacheField name="Status" numFmtId="0">
      <sharedItems/>
    </cacheField>
    <cacheField name="Status reasons" numFmtId="0">
      <sharedItems/>
    </cacheField>
    <cacheField name="Conversions" numFmtId="0">
      <sharedItems containsSemiMixedTypes="0" containsString="0" containsNumber="1" minValue="0" maxValue="8"/>
    </cacheField>
    <cacheField name="Currency code" numFmtId="0">
      <sharedItems/>
    </cacheField>
    <cacheField name="Cost / conv." numFmtId="0">
      <sharedItems containsSemiMixedTypes="0" containsString="0" containsNumber="1" minValue="0" maxValue="106.4"/>
    </cacheField>
    <cacheField name="Clicks" numFmtId="0">
      <sharedItems containsSemiMixedTypes="0" containsString="0" containsNumber="1" containsInteger="1" minValue="0" maxValue="133"/>
    </cacheField>
    <cacheField name="Cost" numFmtId="0">
      <sharedItems containsSemiMixedTypes="0" containsString="0" containsNumber="1" minValue="0" maxValue="359.96"/>
    </cacheField>
    <cacheField name="Impr." numFmtId="0">
      <sharedItems containsSemiMixedTypes="0" containsString="0" containsNumber="1" containsInteger="1" minValue="0" maxValue="4231"/>
    </cacheField>
    <cacheField name="CTR" numFmtId="0">
      <sharedItems containsMixedTypes="1" containsNumber="1" minValue="0" maxValue="1"/>
    </cacheField>
    <cacheField name="Avg. CPC" numFmtId="0">
      <sharedItems containsSemiMixedTypes="0" containsString="0" containsNumber="1" minValue="0" maxValue="12.8"/>
    </cacheField>
    <cacheField name="Quality Score (hist.)" numFmtId="0">
      <sharedItems containsMixedTypes="1" containsNumber="1" containsInteger="1" minValue="1" maxValue="8"/>
    </cacheField>
    <cacheField name="Conv. rate" numFmtId="10">
      <sharedItems containsSemiMixedTypes="0" containsString="0" containsNumber="1" minValue="0" maxValue="2"/>
    </cacheField>
    <cacheField name="CTR‘" numFmtId="0" formula="IFERROR(Clicks/Impr., 0)" databaseField="0"/>
    <cacheField name="CVR" numFmtId="0" formula="IFERROR(Conversions/Clicks, 0)" databaseField="0"/>
    <cacheField name="CPA" numFmtId="0" formula="IFERROR(Cost/Conversions, 0)" databaseField="0"/>
    <cacheField name="CPC" numFmtId="0" formula="IFERROR(Cost/Clicks, 0)"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42.040094675926" createdVersion="8" refreshedVersion="8" minRefreshableVersion="3" recordCount="21" xr:uid="{9CF7634C-313A-E948-B4B8-9EAB9D618BF9}">
  <cacheSource type="worksheet">
    <worksheetSource ref="A34:K55" sheet="Raw"/>
  </cacheSource>
  <cacheFields count="13">
    <cacheField name="Campaign" numFmtId="0">
      <sharedItems count="3">
        <s v="FY23_Brave_ISA_DA Program_National_Generic"/>
        <s v="FY23_Brave_ISA_DA Program_National_Generic Trial 836 "/>
        <s v="FY24_Brave_ISA_DE Program_National_Generic"/>
      </sharedItems>
    </cacheField>
    <cacheField name="Age" numFmtId="0">
      <sharedItems containsMixedTypes="1" containsNumber="1" containsInteger="1" minValue="65" maxValue="65" count="8">
        <s v="55 - 64"/>
        <s v="25 - 34"/>
        <s v="65+"/>
        <s v="Unknown"/>
        <s v="45 - 54"/>
        <s v="35 - 44"/>
        <s v="18 - 24"/>
        <n v="65"/>
      </sharedItems>
    </cacheField>
    <cacheField name="Conversions" numFmtId="0">
      <sharedItems containsSemiMixedTypes="0" containsString="0" containsNumber="1" containsInteger="1" minValue="0" maxValue="23"/>
    </cacheField>
    <cacheField name="Currency code" numFmtId="0">
      <sharedItems/>
    </cacheField>
    <cacheField name="Cost / conv." numFmtId="0">
      <sharedItems containsSemiMixedTypes="0" containsString="0" containsNumber="1" minValue="0" maxValue="99.2"/>
    </cacheField>
    <cacheField name="Clicks" numFmtId="0">
      <sharedItems containsSemiMixedTypes="0" containsString="0" containsNumber="1" containsInteger="1" minValue="0" maxValue="181"/>
    </cacheField>
    <cacheField name="Impr." numFmtId="0">
      <sharedItems containsSemiMixedTypes="0" containsString="0" containsNumber="1" containsInteger="1" minValue="0" maxValue="9549"/>
    </cacheField>
    <cacheField name="CTR" numFmtId="0">
      <sharedItems containsMixedTypes="1" containsNumber="1" minValue="0" maxValue="9.1300000000000006E-2"/>
    </cacheField>
    <cacheField name="Avg. CPC" numFmtId="0">
      <sharedItems containsSemiMixedTypes="0" containsString="0" containsNumber="1" minValue="0" maxValue="8.1"/>
    </cacheField>
    <cacheField name="Cost" numFmtId="0">
      <sharedItems containsSemiMixedTypes="0" containsString="0" containsNumber="1" minValue="0" maxValue="661.27"/>
    </cacheField>
    <cacheField name="Conv. rate" numFmtId="10">
      <sharedItems containsSemiMixedTypes="0" containsString="0" containsNumber="1" minValue="0" maxValue="0.1429"/>
    </cacheField>
    <cacheField name="True CPA" numFmtId="0" formula=" IF(Conversions= 0, 0,Cost /Conversions )" databaseField="0"/>
    <cacheField name="字段1" numFmtId="0" formula=" IF(Conversions= 0, 0,Conversions /Clicks)"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42.079537847225" createdVersion="8" refreshedVersion="8" minRefreshableVersion="3" recordCount="9" xr:uid="{272AF2CE-9723-B740-B98C-F3731813D264}">
  <cacheSource type="worksheet">
    <worksheetSource name="表9"/>
  </cacheSource>
  <cacheFields count="14">
    <cacheField name="Campaign" numFmtId="0">
      <sharedItems count="3">
        <s v="FY23_Brave_ISA_DA Program_National_Generic"/>
        <s v="FY24_Brave_ISA_DE Program_National_Generic"/>
        <s v="FY23_Brave_ISA_DA Program_National_Generic Trial 836"/>
      </sharedItems>
    </cacheField>
    <cacheField name="Gender" numFmtId="0">
      <sharedItems count="3">
        <s v="Unknown"/>
        <s v="Female"/>
        <s v="Male"/>
      </sharedItems>
    </cacheField>
    <cacheField name="Conversions" numFmtId="0">
      <sharedItems containsSemiMixedTypes="0" containsString="0" containsNumber="1" containsInteger="1" minValue="0" maxValue="17"/>
    </cacheField>
    <cacheField name="Currency code" numFmtId="0">
      <sharedItems/>
    </cacheField>
    <cacheField name="Cost / conv." numFmtId="0">
      <sharedItems containsSemiMixedTypes="0" containsString="0" containsNumber="1" minValue="0" maxValue="71.819999999999993"/>
    </cacheField>
    <cacheField name="Clicks" numFmtId="0">
      <sharedItems containsSemiMixedTypes="0" containsString="0" containsNumber="1" containsInteger="1" minValue="12" maxValue="212"/>
    </cacheField>
    <cacheField name="Impr." numFmtId="0">
      <sharedItems containsSemiMixedTypes="0" containsString="0" containsNumber="1" containsInteger="1" minValue="281" maxValue="9557"/>
    </cacheField>
    <cacheField name="CTR" numFmtId="10">
      <sharedItems containsSemiMixedTypes="0" containsString="0" containsNumber="1" minValue="1.35E-2" maxValue="8.6300000000000002E-2"/>
    </cacheField>
    <cacheField name="Avg. CPC" numFmtId="0">
      <sharedItems containsSemiMixedTypes="0" containsString="0" containsNumber="1" minValue="2.09" maxValue="4.84"/>
    </cacheField>
    <cacheField name="Cost" numFmtId="0">
      <sharedItems containsSemiMixedTypes="0" containsString="0" containsNumber="1" minValue="31.88" maxValue="740.15"/>
    </cacheField>
    <cacheField name="Conv. rate" numFmtId="10">
      <sharedItems containsSemiMixedTypes="0" containsString="0" containsNumber="1" minValue="0" maxValue="0.12139999999999999"/>
    </cacheField>
    <cacheField name="CPA" numFmtId="0" formula="IF(Conversions=0, IF(Cost&gt;0, &quot;WASTE&quot;, 0),Cost /Conversions)" databaseField="0"/>
    <cacheField name="True CPA" numFmtId="0" formula="IF(Conversions=0, IF(Cost=0, &quot;WASTE&quot;, 0),Cost /Conversions)" databaseField="0"/>
    <cacheField name="True CVR" numFmtId="0" formula="IF(Conversions=0, IF(Clicks=0, &quot;WASTE&quot;, 0),Conversions/Clicks)"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42.089242361108" createdVersion="8" refreshedVersion="8" minRefreshableVersion="3" recordCount="21" xr:uid="{BA407CD1-9BE5-3F4F-BDBD-62523040FF9C}">
  <cacheSource type="worksheet">
    <worksheetSource ref="R45:AB66" sheet="Raw"/>
  </cacheSource>
  <cacheFields count="13">
    <cacheField name="Campaign" numFmtId="0">
      <sharedItems count="3">
        <s v="FY23_Brave_ISA_DA Program_National_Generic Trial 836"/>
        <s v="FY23_Brave_ISA_DA Program_National_Generic"/>
        <s v="FY24_Brave_ISA_DE Program_National_Generic"/>
      </sharedItems>
    </cacheField>
    <cacheField name="Household income" numFmtId="0">
      <sharedItems count="7">
        <s v="21 - 30%"/>
        <s v="31 - 40%"/>
        <s v="Unknown"/>
        <s v="Top 10%"/>
        <s v="Lower 50%"/>
        <s v="41 - 50%"/>
        <s v="11 - 20%"/>
      </sharedItems>
    </cacheField>
    <cacheField name="Conversions" numFmtId="0">
      <sharedItems containsSemiMixedTypes="0" containsString="0" containsNumber="1" containsInteger="1" minValue="0" maxValue="16"/>
    </cacheField>
    <cacheField name="Currency code" numFmtId="0">
      <sharedItems/>
    </cacheField>
    <cacheField name="Cost / conv." numFmtId="0">
      <sharedItems containsSemiMixedTypes="0" containsString="0" containsNumber="1" minValue="0" maxValue="349.23"/>
    </cacheField>
    <cacheField name="Clicks" numFmtId="0">
      <sharedItems containsSemiMixedTypes="0" containsString="0" containsNumber="1" containsInteger="1" minValue="0" maxValue="146"/>
    </cacheField>
    <cacheField name="Impr." numFmtId="0">
      <sharedItems containsSemiMixedTypes="0" containsString="0" containsNumber="1" containsInteger="1" minValue="0" maxValue="10129"/>
    </cacheField>
    <cacheField name="CTR" numFmtId="0">
      <sharedItems containsMixedTypes="1" containsNumber="1" minValue="1.44E-2" maxValue="0.14779999999999999"/>
    </cacheField>
    <cacheField name="Avg. CPC" numFmtId="0">
      <sharedItems containsSemiMixedTypes="0" containsString="0" containsNumber="1" minValue="0" maxValue="5.08"/>
    </cacheField>
    <cacheField name="Cost" numFmtId="0">
      <sharedItems containsSemiMixedTypes="0" containsString="0" containsNumber="1" minValue="0" maxValue="576.14"/>
    </cacheField>
    <cacheField name="Conv. rate" numFmtId="10">
      <sharedItems containsSemiMixedTypes="0" containsString="0" containsNumber="1" minValue="0" maxValue="0.18179999999999999"/>
    </cacheField>
    <cacheField name="True CPA" numFmtId="0" formula="IF(Conversions=0, IF(Cost=0, &quot;WASTE&quot;, 0),Cost /Conversions)" databaseField="0"/>
    <cacheField name="True CVR" numFmtId="0" formula="IF(Conversions=0, IF(Clicks=0, &quot;WASTE&quot;, 0),Conversions/Clicks)"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s v="Sitelink"/>
    <x v="0"/>
    <s v="Paused"/>
    <x v="0"/>
    <n v="10.92"/>
    <s v="Search"/>
    <n v="1"/>
    <n v="41"/>
    <n v="2.4400000000000002E-2"/>
    <s v="CAD"/>
    <n v="2.81"/>
    <n v="0"/>
    <n v="0"/>
    <n v="0"/>
    <n v="2.81"/>
  </r>
  <r>
    <x v="1"/>
    <s v="Headline"/>
    <x v="0"/>
    <s v="Paused"/>
    <x v="1"/>
    <n v="16.670000000000002"/>
    <s v="Search"/>
    <n v="4"/>
    <n v="30"/>
    <n v="0.1333"/>
    <s v="CAD"/>
    <n v="8.6999999999999993"/>
    <n v="2"/>
    <n v="4.3499999999999996"/>
    <n v="0.5"/>
    <n v="2.1749999999999998"/>
  </r>
  <r>
    <x v="0"/>
    <s v="Sitelink"/>
    <x v="0"/>
    <s v="Paused"/>
    <x v="2"/>
    <n v="10.92"/>
    <s v="Search"/>
    <n v="0"/>
    <n v="12"/>
    <n v="0"/>
    <s v="CAD"/>
    <n v="0"/>
    <n v="0"/>
    <n v="0"/>
    <n v="0"/>
    <n v="0"/>
  </r>
  <r>
    <x v="0"/>
    <s v="Headline"/>
    <x v="0"/>
    <s v="Paused"/>
    <x v="0"/>
    <n v="10.92"/>
    <s v="Search"/>
    <n v="2"/>
    <n v="81"/>
    <n v="2.47E-2"/>
    <s v="CAD"/>
    <n v="7.67"/>
    <n v="0"/>
    <n v="0"/>
    <n v="0"/>
    <n v="3.835"/>
  </r>
  <r>
    <x v="1"/>
    <s v="Image"/>
    <x v="1"/>
    <s v="Paused"/>
    <x v="1"/>
    <n v="16.670000000000002"/>
    <s v="Search"/>
    <n v="0"/>
    <n v="183"/>
    <n v="0"/>
    <s v="CAD"/>
    <n v="0"/>
    <n v="0"/>
    <n v="0"/>
    <n v="0"/>
    <n v="0"/>
  </r>
  <r>
    <x v="1"/>
    <s v="Sitelink"/>
    <x v="0"/>
    <s v="Paused"/>
    <x v="1"/>
    <n v="16.670000000000002"/>
    <s v="Search"/>
    <n v="0"/>
    <n v="22"/>
    <n v="0"/>
    <s v="CAD"/>
    <n v="0"/>
    <n v="0"/>
    <n v="0"/>
    <n v="0"/>
    <n v="0"/>
  </r>
  <r>
    <x v="0"/>
    <s v="Headline"/>
    <x v="1"/>
    <s v="Paused"/>
    <x v="2"/>
    <n v="10.92"/>
    <s v="Search"/>
    <n v="42"/>
    <n v="642"/>
    <n v="6.54E-2"/>
    <s v="CAD"/>
    <n v="156.38999999999999"/>
    <n v="3"/>
    <n v="52.13"/>
    <n v="7.1400000000000005E-2"/>
    <n v="3.7235714285714283"/>
  </r>
  <r>
    <x v="1"/>
    <s v="Image"/>
    <x v="2"/>
    <s v="Paused"/>
    <x v="1"/>
    <n v="16.670000000000002"/>
    <s v="Search"/>
    <n v="0"/>
    <n v="30"/>
    <n v="0"/>
    <s v="CAD"/>
    <n v="0"/>
    <n v="0"/>
    <n v="0"/>
    <n v="0"/>
    <n v="0"/>
  </r>
  <r>
    <x v="0"/>
    <s v="Image"/>
    <x v="1"/>
    <s v="Paused"/>
    <x v="1"/>
    <n v="16.670000000000002"/>
    <s v="Search"/>
    <n v="0"/>
    <n v="54"/>
    <n v="0"/>
    <s v="CAD"/>
    <n v="0"/>
    <n v="0"/>
    <n v="0"/>
    <n v="0"/>
    <n v="0"/>
  </r>
  <r>
    <x v="0"/>
    <s v="Headline"/>
    <x v="2"/>
    <s v="Paused"/>
    <x v="1"/>
    <n v="16.670000000000002"/>
    <s v="Search"/>
    <n v="228"/>
    <n v="4175"/>
    <n v="5.4600000000000003E-2"/>
    <s v="CAD"/>
    <n v="469.87"/>
    <n v="15.67"/>
    <n v="29.99"/>
    <n v="6.8699999999999997E-2"/>
    <n v="2.0608333333333335"/>
  </r>
  <r>
    <x v="0"/>
    <s v="Sitelink"/>
    <x v="2"/>
    <s v="Paused"/>
    <x v="2"/>
    <n v="10.92"/>
    <s v="Search"/>
    <n v="4"/>
    <n v="385"/>
    <n v="1.04E-2"/>
    <s v="CAD"/>
    <n v="11.05"/>
    <n v="0"/>
    <n v="0"/>
    <n v="0"/>
    <n v="2.7625000000000002"/>
  </r>
  <r>
    <x v="1"/>
    <s v="Sitelink"/>
    <x v="2"/>
    <s v="Paused"/>
    <x v="1"/>
    <n v="16.670000000000002"/>
    <s v="Search"/>
    <n v="1"/>
    <n v="3640"/>
    <n v="2.9999999999999997E-4"/>
    <s v="CAD"/>
    <n v="2.9"/>
    <n v="0"/>
    <n v="0"/>
    <n v="0"/>
    <n v="2.9"/>
  </r>
  <r>
    <x v="0"/>
    <s v="Sitelink"/>
    <x v="1"/>
    <s v="Paused"/>
    <x v="2"/>
    <n v="10.92"/>
    <s v="Search"/>
    <n v="1"/>
    <n v="298"/>
    <n v="3.3999999999999998E-3"/>
    <s v="CAD"/>
    <n v="6.42"/>
    <n v="0"/>
    <n v="0"/>
    <n v="0"/>
    <n v="6.42"/>
  </r>
  <r>
    <x v="0"/>
    <s v="Headline"/>
    <x v="0"/>
    <s v="Paused"/>
    <x v="1"/>
    <n v="16.670000000000002"/>
    <s v="Search"/>
    <n v="1"/>
    <n v="60"/>
    <n v="1.67E-2"/>
    <s v="CAD"/>
    <n v="4.8899999999999997"/>
    <n v="0"/>
    <n v="0"/>
    <n v="0"/>
    <n v="4.8899999999999997"/>
  </r>
  <r>
    <x v="0"/>
    <s v="Sitelink"/>
    <x v="2"/>
    <s v="Paused"/>
    <x v="1"/>
    <n v="16.670000000000002"/>
    <s v="Search"/>
    <n v="14"/>
    <n v="2015"/>
    <n v="6.8999999999999999E-3"/>
    <s v="CAD"/>
    <n v="39.46"/>
    <n v="0.33"/>
    <n v="118.38"/>
    <n v="2.3800000000000002E-2"/>
    <n v="2.8185714285714285"/>
  </r>
  <r>
    <x v="0"/>
    <s v="Headline"/>
    <x v="2"/>
    <s v="Paused"/>
    <x v="2"/>
    <n v="10.92"/>
    <s v="Search"/>
    <n v="57"/>
    <n v="826"/>
    <n v="6.9000000000000006E-2"/>
    <s v="CAD"/>
    <n v="129.13999999999999"/>
    <n v="3"/>
    <n v="43.05"/>
    <n v="5.2600000000000001E-2"/>
    <n v="2.2656140350877192"/>
  </r>
  <r>
    <x v="0"/>
    <s v="Sitelink"/>
    <x v="1"/>
    <s v="Paused"/>
    <x v="1"/>
    <n v="16.670000000000002"/>
    <s v="Search"/>
    <n v="3"/>
    <n v="1759"/>
    <n v="1.6999999999999999E-3"/>
    <s v="CAD"/>
    <n v="13.25"/>
    <n v="1"/>
    <n v="13.25"/>
    <n v="0.33329999999999999"/>
    <n v="4.416666666666667"/>
  </r>
  <r>
    <x v="1"/>
    <s v="Headline"/>
    <x v="1"/>
    <s v="Paused"/>
    <x v="1"/>
    <n v="16.670000000000002"/>
    <s v="Search"/>
    <n v="17"/>
    <n v="8500"/>
    <n v="2E-3"/>
    <s v="CAD"/>
    <n v="43.16"/>
    <n v="1"/>
    <n v="43.16"/>
    <n v="5.8799999999999998E-2"/>
    <n v="2.5388235294117645"/>
  </r>
  <r>
    <x v="0"/>
    <s v="Headline"/>
    <x v="1"/>
    <s v="Paused"/>
    <x v="1"/>
    <n v="16.670000000000002"/>
    <s v="Search"/>
    <n v="159"/>
    <n v="3266"/>
    <n v="4.87E-2"/>
    <s v="CAD"/>
    <n v="558.46"/>
    <n v="13"/>
    <n v="42.96"/>
    <n v="8.1799999999999998E-2"/>
    <n v="3.5123270440251573"/>
  </r>
  <r>
    <x v="1"/>
    <s v="Sitelink"/>
    <x v="1"/>
    <s v="Paused"/>
    <x v="1"/>
    <n v="16.670000000000002"/>
    <s v="Search"/>
    <n v="1"/>
    <n v="6139"/>
    <n v="2.0000000000000001E-4"/>
    <s v="CAD"/>
    <n v="1.68"/>
    <n v="0"/>
    <n v="0"/>
    <n v="0"/>
    <n v="1.68"/>
  </r>
  <r>
    <x v="1"/>
    <s v="Headline"/>
    <x v="2"/>
    <s v="Paused"/>
    <x v="1"/>
    <n v="16.670000000000002"/>
    <s v="Search"/>
    <n v="42"/>
    <n v="4145"/>
    <n v="1.01E-2"/>
    <s v="CAD"/>
    <n v="69.45"/>
    <n v="3"/>
    <n v="23.15"/>
    <n v="7.1400000000000005E-2"/>
    <n v="1.6535714285714287"/>
  </r>
  <r>
    <x v="0"/>
    <s v="Sitelink"/>
    <x v="0"/>
    <s v="Paused"/>
    <x v="1"/>
    <n v="16.670000000000002"/>
    <s v="Search"/>
    <n v="0"/>
    <n v="35"/>
    <n v="0"/>
    <s v="CAD"/>
    <n v="0"/>
    <n v="0"/>
    <n v="0"/>
    <n v="0"/>
    <n v="0"/>
  </r>
  <r>
    <x v="0"/>
    <s v="Headline"/>
    <x v="1"/>
    <s v="Paused"/>
    <x v="0"/>
    <n v="10.92"/>
    <s v="Search"/>
    <n v="130"/>
    <n v="3814"/>
    <n v="3.4099999999999998E-2"/>
    <s v="CAD"/>
    <n v="716.54"/>
    <n v="14"/>
    <n v="51.18"/>
    <n v="0.1077"/>
    <n v="5.5118461538461538"/>
  </r>
  <r>
    <x v="0"/>
    <s v="Headline"/>
    <x v="2"/>
    <s v="Paused"/>
    <x v="0"/>
    <n v="10.92"/>
    <s v="Search"/>
    <n v="236"/>
    <n v="5294"/>
    <n v="4.4600000000000001E-2"/>
    <s v="CAD"/>
    <n v="883.59"/>
    <n v="17"/>
    <n v="51.98"/>
    <n v="7.1999999999999995E-2"/>
    <n v="3.7440254237288135"/>
  </r>
  <r>
    <x v="0"/>
    <s v="Headline"/>
    <x v="0"/>
    <s v="Paused"/>
    <x v="2"/>
    <n v="10.92"/>
    <s v="Search"/>
    <n v="2"/>
    <n v="17"/>
    <n v="0.1176"/>
    <s v="CAD"/>
    <n v="3.6"/>
    <n v="0"/>
    <n v="0"/>
    <n v="0"/>
    <n v="1.8"/>
  </r>
  <r>
    <x v="0"/>
    <s v="Image"/>
    <x v="2"/>
    <s v="Paused"/>
    <x v="1"/>
    <n v="16.670000000000002"/>
    <s v="Search"/>
    <n v="0"/>
    <n v="78"/>
    <n v="0"/>
    <s v="CAD"/>
    <n v="0"/>
    <n v="0"/>
    <n v="0"/>
    <n v="0"/>
    <n v="0"/>
  </r>
  <r>
    <x v="0"/>
    <s v="Sitelink"/>
    <x v="2"/>
    <s v="Paused"/>
    <x v="0"/>
    <n v="10.92"/>
    <s v="Search"/>
    <n v="17"/>
    <n v="2403"/>
    <n v="7.1000000000000004E-3"/>
    <s v="CAD"/>
    <n v="58.37"/>
    <n v="0"/>
    <n v="0"/>
    <n v="0"/>
    <n v="3.4335294117647059"/>
  </r>
  <r>
    <x v="0"/>
    <s v="Sitelink"/>
    <x v="1"/>
    <s v="Paused"/>
    <x v="0"/>
    <n v="10.92"/>
    <s v="Search"/>
    <n v="5"/>
    <n v="1649"/>
    <n v="3.0000000000000001E-3"/>
    <s v="CAD"/>
    <n v="19.739999999999998"/>
    <n v="0"/>
    <n v="0"/>
    <n v="0"/>
    <n v="3.94799999999999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FY24_Brave_ISA_DE Program_National_Generic"/>
    <s v="Enabled"/>
    <x v="0"/>
    <s v="Not eligible"/>
    <n v="13.33"/>
    <n v="32.619999999999997"/>
    <s v="Standard"/>
    <n v="158"/>
    <n v="5464"/>
    <n v="2.8899999999999999E-2"/>
    <n v="2.75"/>
    <n v="435"/>
    <n v="8.4400000000000003E-2"/>
  </r>
  <r>
    <s v="FY24_Brave_ISA_DE Program_National_Generic"/>
    <s v="Enabled"/>
    <x v="1"/>
    <s v="Not eligible"/>
    <n v="4"/>
    <n v="20.010000000000002"/>
    <s v="Standard"/>
    <n v="33"/>
    <n v="985"/>
    <n v="3.3500000000000002E-2"/>
    <n v="2.42"/>
    <n v="80.02"/>
    <n v="0.1212"/>
  </r>
  <r>
    <s v="FY24_Brave_ISA_DE Program_National_Generic"/>
    <s v="Enabled"/>
    <x v="2"/>
    <s v="Not eligible"/>
    <n v="18.670000000000002"/>
    <n v="37.33"/>
    <s v="Standard"/>
    <n v="279"/>
    <n v="13727"/>
    <n v="2.0299999999999999E-2"/>
    <n v="2.5"/>
    <n v="696.8"/>
    <n v="6.6900000000000001E-2"/>
  </r>
  <r>
    <s v="FY24_Brave_ISA_DE Program_National_Generic"/>
    <s v="Paused"/>
    <x v="3"/>
    <s v="Paused"/>
    <n v="0"/>
    <n v="0"/>
    <s v="Standard"/>
    <n v="0"/>
    <n v="0"/>
    <n v="0"/>
    <n v="0"/>
    <n v="0"/>
    <n v="0"/>
  </r>
  <r>
    <s v="FY23_Brave_ISA_DA Program_National_Generic"/>
    <s v="Paused"/>
    <x v="4"/>
    <s v="Paused"/>
    <n v="0"/>
    <n v="0"/>
    <s v="Standard"/>
    <n v="24"/>
    <n v="384"/>
    <n v="6.25E-2"/>
    <n v="6.51"/>
    <n v="156.30000000000001"/>
    <n v="0"/>
  </r>
  <r>
    <s v="FY23_Brave_ISA_DA Program_National_Generic"/>
    <s v="Enabled"/>
    <x v="5"/>
    <s v="Not eligible"/>
    <n v="1"/>
    <n v="22.79"/>
    <s v="Standard"/>
    <n v="7"/>
    <n v="169"/>
    <n v="4.1399999999999999E-2"/>
    <n v="3.26"/>
    <n v="22.79"/>
    <n v="0.1429"/>
  </r>
  <r>
    <s v="FY23_Brave_ISA_DA Program_National_Generic"/>
    <s v="Paused"/>
    <x v="6"/>
    <s v="Paused"/>
    <n v="1"/>
    <n v="196.57"/>
    <s v="Standard"/>
    <n v="48"/>
    <n v="1059"/>
    <n v="4.53E-2"/>
    <n v="4.0999999999999996"/>
    <n v="196.57"/>
    <n v="2.0799999999999999E-2"/>
  </r>
  <r>
    <s v="FY23_Brave_ISA_DA Program_National_Generic"/>
    <s v="Enabled"/>
    <x v="7"/>
    <s v="Not eligible"/>
    <n v="2"/>
    <n v="58.98"/>
    <s v="Standard"/>
    <n v="26"/>
    <n v="382"/>
    <n v="6.8099999999999994E-2"/>
    <n v="4.54"/>
    <n v="117.96"/>
    <n v="7.6899999999999996E-2"/>
  </r>
  <r>
    <s v="FY23_Brave_ISA_DA Program_National_Generic"/>
    <s v="Enabled"/>
    <x v="2"/>
    <s v="Not eligible"/>
    <n v="27"/>
    <n v="44.26"/>
    <s v="Standard"/>
    <n v="286"/>
    <n v="7195"/>
    <n v="3.9699999999999999E-2"/>
    <n v="4.18"/>
    <n v="1195.0999999999999"/>
    <n v="9.4399999999999998E-2"/>
  </r>
  <r>
    <s v="FY23_Brave_ISA_DA Program_National_Generic Trial 836 "/>
    <s v="Enabled"/>
    <x v="7"/>
    <s v="Not eligible"/>
    <n v="0"/>
    <n v="0"/>
    <s v="Standard"/>
    <n v="12"/>
    <n v="209"/>
    <n v="5.74E-2"/>
    <n v="3.79"/>
    <n v="45.52"/>
    <n v="0"/>
  </r>
  <r>
    <s v="FY23_Brave_ISA_DA Program_National_Generic Trial 836 "/>
    <s v="Enabled"/>
    <x v="5"/>
    <s v="Not eligible"/>
    <n v="0"/>
    <n v="0"/>
    <s v="Standard"/>
    <n v="2"/>
    <n v="44"/>
    <n v="4.5499999999999999E-2"/>
    <n v="4.6100000000000003"/>
    <n v="9.2200000000000006"/>
    <n v="0"/>
  </r>
  <r>
    <s v="FY23_Brave_ISA_DA Program_National_Generic Trial 836 "/>
    <s v="Paused"/>
    <x v="4"/>
    <s v="Paused"/>
    <n v="0"/>
    <n v="0"/>
    <s v="Standard"/>
    <n v="0"/>
    <n v="0"/>
    <n v="0"/>
    <n v="0"/>
    <n v="0"/>
    <n v="0"/>
  </r>
  <r>
    <s v="FY23_Brave_ISA_DA Program_National_Generic Trial 836 "/>
    <s v="Paused"/>
    <x v="6"/>
    <s v="Paused"/>
    <n v="0"/>
    <n v="0"/>
    <s v="Standard"/>
    <n v="0"/>
    <n v="0"/>
    <n v="0"/>
    <n v="0"/>
    <n v="0"/>
    <n v="0"/>
  </r>
  <r>
    <s v="FY23_Brave_ISA_DA Program_National_Generic Trial 836 "/>
    <s v="Enabled"/>
    <x v="2"/>
    <s v="Not eligible"/>
    <n v="6"/>
    <n v="41.98"/>
    <s v="Standard"/>
    <n v="92"/>
    <n v="1232"/>
    <n v="7.4700000000000003E-2"/>
    <n v="2.74"/>
    <n v="251.86"/>
    <n v="6.5199999999999994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7">
  <r>
    <x v="0"/>
    <s v="Enabled"/>
    <x v="0"/>
    <x v="0"/>
    <x v="0"/>
    <s v="Not eligible"/>
    <s v="rarely served; ad group paused; campaign paused"/>
    <n v="0"/>
    <s v="CAD"/>
    <n v="0"/>
    <n v="0"/>
    <n v="0"/>
    <n v="0"/>
    <s v=" --"/>
    <n v="0"/>
    <s v=" --"/>
    <n v="0"/>
  </r>
  <r>
    <x v="0"/>
    <s v="Enabled"/>
    <x v="1"/>
    <x v="1"/>
    <x v="0"/>
    <s v="Not eligible"/>
    <s v="ad group paused; campaign paused"/>
    <n v="0"/>
    <s v="CAD"/>
    <n v="0"/>
    <n v="0"/>
    <n v="0"/>
    <n v="0"/>
    <s v=" --"/>
    <n v="0"/>
    <s v=" --"/>
    <n v="0"/>
  </r>
  <r>
    <x v="0"/>
    <s v="Enabled"/>
    <x v="2"/>
    <x v="2"/>
    <x v="0"/>
    <s v="Not eligible"/>
    <s v="ad group paused; campaign paused"/>
    <n v="0"/>
    <s v="CAD"/>
    <n v="0"/>
    <n v="0"/>
    <n v="0"/>
    <n v="2"/>
    <n v="0"/>
    <n v="0"/>
    <n v="3"/>
    <n v="0"/>
  </r>
  <r>
    <x v="0"/>
    <s v="Enabled"/>
    <x v="3"/>
    <x v="0"/>
    <x v="0"/>
    <s v="Not eligible"/>
    <s v="ad group paused; campaign paused"/>
    <n v="0"/>
    <s v="CAD"/>
    <n v="0"/>
    <n v="1"/>
    <n v="2.12"/>
    <n v="4"/>
    <n v="0.25"/>
    <n v="2.12"/>
    <s v=" --"/>
    <n v="0"/>
  </r>
  <r>
    <x v="0"/>
    <s v="Enabled"/>
    <x v="4"/>
    <x v="1"/>
    <x v="0"/>
    <s v="Not eligible"/>
    <s v="rarely served; ad group paused; campaign paused"/>
    <n v="0"/>
    <s v="CAD"/>
    <n v="0"/>
    <n v="0"/>
    <n v="0"/>
    <n v="0"/>
    <s v=" --"/>
    <n v="0"/>
    <s v=" --"/>
    <n v="0"/>
  </r>
  <r>
    <x v="0"/>
    <s v="Enabled"/>
    <x v="5"/>
    <x v="2"/>
    <x v="0"/>
    <s v="Not eligible"/>
    <s v="ad group paused; campaign paused"/>
    <n v="0"/>
    <s v="CAD"/>
    <n v="0"/>
    <n v="1"/>
    <n v="4.46"/>
    <n v="5"/>
    <n v="0.2"/>
    <n v="4.46"/>
    <s v=" --"/>
    <n v="0"/>
  </r>
  <r>
    <x v="0"/>
    <s v="Enabled"/>
    <x v="6"/>
    <x v="0"/>
    <x v="0"/>
    <s v="Not eligible"/>
    <s v="ad group paused; campaign paused"/>
    <n v="0"/>
    <s v="CAD"/>
    <n v="0"/>
    <n v="0"/>
    <n v="0"/>
    <n v="6"/>
    <n v="0"/>
    <n v="0"/>
    <s v=" --"/>
    <n v="0"/>
  </r>
  <r>
    <x v="0"/>
    <s v="Enabled"/>
    <x v="7"/>
    <x v="1"/>
    <x v="0"/>
    <s v="Not eligible"/>
    <s v="ad group paused; campaign paused"/>
    <n v="0"/>
    <s v="CAD"/>
    <n v="0"/>
    <n v="0"/>
    <n v="0"/>
    <n v="0"/>
    <s v=" --"/>
    <n v="0"/>
    <s v=" --"/>
    <n v="0"/>
  </r>
  <r>
    <x v="0"/>
    <s v="Enabled"/>
    <x v="8"/>
    <x v="0"/>
    <x v="0"/>
    <s v="Not eligible"/>
    <s v="ad group paused; campaign paused"/>
    <n v="0"/>
    <s v="CAD"/>
    <n v="0"/>
    <n v="8"/>
    <n v="32.25"/>
    <n v="228"/>
    <n v="3.5099999999999999E-2"/>
    <n v="4.03"/>
    <s v=" --"/>
    <n v="0"/>
  </r>
  <r>
    <x v="0"/>
    <s v="Enabled"/>
    <x v="9"/>
    <x v="2"/>
    <x v="0"/>
    <s v="Not eligible"/>
    <s v="rarely served; ad group paused; campaign paused"/>
    <n v="0"/>
    <s v="CAD"/>
    <n v="0"/>
    <n v="0"/>
    <n v="0"/>
    <n v="0"/>
    <s v=" --"/>
    <n v="0"/>
    <s v=" --"/>
    <n v="0"/>
  </r>
  <r>
    <x v="0"/>
    <s v="Enabled"/>
    <x v="10"/>
    <x v="0"/>
    <x v="0"/>
    <s v="Not eligible"/>
    <s v="rarely served; ad group paused; campaign paused"/>
    <n v="0"/>
    <s v="CAD"/>
    <n v="0"/>
    <n v="0"/>
    <n v="0"/>
    <n v="0"/>
    <s v=" --"/>
    <n v="0"/>
    <s v=" --"/>
    <n v="0"/>
  </r>
  <r>
    <x v="0"/>
    <s v="Enabled"/>
    <x v="11"/>
    <x v="2"/>
    <x v="0"/>
    <s v="Not eligible"/>
    <s v="ad group paused; campaign paused"/>
    <n v="0"/>
    <s v="CAD"/>
    <n v="0"/>
    <n v="0"/>
    <n v="0"/>
    <n v="0"/>
    <s v=" --"/>
    <n v="0"/>
    <s v=" --"/>
    <n v="0"/>
  </r>
  <r>
    <x v="0"/>
    <s v="Enabled"/>
    <x v="12"/>
    <x v="0"/>
    <x v="0"/>
    <s v="Not eligible"/>
    <s v="ad group paused; campaign paused"/>
    <n v="1"/>
    <s v="CAD"/>
    <n v="28.09"/>
    <n v="7"/>
    <n v="28.09"/>
    <n v="153"/>
    <n v="4.58E-2"/>
    <n v="4.01"/>
    <s v=" --"/>
    <n v="0.1429"/>
  </r>
  <r>
    <x v="0"/>
    <s v="Enabled"/>
    <x v="13"/>
    <x v="0"/>
    <x v="0"/>
    <s v="Not eligible"/>
    <s v="ad group paused; campaign paused"/>
    <n v="0"/>
    <s v="CAD"/>
    <n v="0"/>
    <n v="0"/>
    <n v="0"/>
    <n v="0"/>
    <s v=" --"/>
    <n v="0"/>
    <s v=" --"/>
    <n v="0"/>
  </r>
  <r>
    <x v="0"/>
    <s v="Paused"/>
    <x v="14"/>
    <x v="2"/>
    <x v="0"/>
    <s v="Paused"/>
    <s v="paused; ad group paused; campaign paused"/>
    <n v="0"/>
    <s v="CAD"/>
    <n v="0"/>
    <n v="0"/>
    <n v="0"/>
    <n v="0"/>
    <s v=" --"/>
    <n v="0"/>
    <s v=" --"/>
    <n v="0"/>
  </r>
  <r>
    <x v="0"/>
    <s v="Enabled"/>
    <x v="15"/>
    <x v="0"/>
    <x v="0"/>
    <s v="Not eligible"/>
    <s v="ad group paused; campaign paused"/>
    <n v="0"/>
    <s v="CAD"/>
    <n v="0"/>
    <n v="0"/>
    <n v="0"/>
    <n v="13"/>
    <n v="0"/>
    <n v="0"/>
    <n v="3"/>
    <n v="0"/>
  </r>
  <r>
    <x v="0"/>
    <s v="Enabled"/>
    <x v="16"/>
    <x v="1"/>
    <x v="0"/>
    <s v="Not eligible"/>
    <s v="ad group paused; campaign paused"/>
    <n v="0"/>
    <s v="CAD"/>
    <n v="0"/>
    <n v="0"/>
    <n v="0"/>
    <n v="0"/>
    <s v=" --"/>
    <n v="0"/>
    <s v=" --"/>
    <n v="0"/>
  </r>
  <r>
    <x v="0"/>
    <s v="Paused"/>
    <x v="17"/>
    <x v="0"/>
    <x v="0"/>
    <s v="Paused"/>
    <s v="paused; ad group paused; campaign paused"/>
    <n v="0"/>
    <s v="CAD"/>
    <n v="0"/>
    <n v="28"/>
    <n v="116.36"/>
    <n v="538"/>
    <n v="5.1999999999999998E-2"/>
    <n v="4.16"/>
    <n v="8"/>
    <n v="0"/>
  </r>
  <r>
    <x v="0"/>
    <s v="Paused"/>
    <x v="18"/>
    <x v="2"/>
    <x v="0"/>
    <s v="Paused"/>
    <s v="paused; ad group paused; campaign paused"/>
    <n v="0"/>
    <s v="CAD"/>
    <n v="0"/>
    <n v="0"/>
    <n v="0"/>
    <n v="0"/>
    <s v=" --"/>
    <n v="0"/>
    <s v=" --"/>
    <n v="0"/>
  </r>
  <r>
    <x v="0"/>
    <s v="Enabled"/>
    <x v="19"/>
    <x v="2"/>
    <x v="0"/>
    <s v="Not eligible"/>
    <s v="ad group paused; campaign paused"/>
    <n v="0"/>
    <s v="CAD"/>
    <n v="0"/>
    <n v="0"/>
    <n v="0"/>
    <n v="0"/>
    <s v=" --"/>
    <n v="0"/>
    <s v=" --"/>
    <n v="0"/>
  </r>
  <r>
    <x v="0"/>
    <s v="Paused"/>
    <x v="20"/>
    <x v="0"/>
    <x v="0"/>
    <s v="Paused"/>
    <s v="paused; ad group paused; campaign paused"/>
    <n v="0"/>
    <s v="CAD"/>
    <n v="0"/>
    <n v="1"/>
    <n v="5.57"/>
    <n v="43"/>
    <n v="2.3300000000000001E-2"/>
    <n v="5.57"/>
    <s v=" --"/>
    <n v="0"/>
  </r>
  <r>
    <x v="0"/>
    <s v="Enabled"/>
    <x v="21"/>
    <x v="2"/>
    <x v="0"/>
    <s v="Not eligible"/>
    <s v="ad group paused; campaign paused"/>
    <n v="0"/>
    <s v="CAD"/>
    <n v="0"/>
    <n v="0"/>
    <n v="0"/>
    <n v="0"/>
    <s v=" --"/>
    <n v="0"/>
    <s v=" --"/>
    <n v="0"/>
  </r>
  <r>
    <x v="0"/>
    <s v="Enabled"/>
    <x v="22"/>
    <x v="1"/>
    <x v="0"/>
    <s v="Not eligible"/>
    <s v="ad group paused; campaign paused"/>
    <n v="0"/>
    <s v="CAD"/>
    <n v="0"/>
    <n v="0"/>
    <n v="0"/>
    <n v="0"/>
    <s v=" --"/>
    <n v="0"/>
    <s v=" --"/>
    <n v="0"/>
  </r>
  <r>
    <x v="0"/>
    <s v="Enabled"/>
    <x v="23"/>
    <x v="0"/>
    <x v="0"/>
    <s v="Not eligible"/>
    <s v="ad group paused; campaign paused"/>
    <n v="0"/>
    <s v="CAD"/>
    <n v="0"/>
    <n v="0"/>
    <n v="0"/>
    <n v="0"/>
    <s v=" --"/>
    <n v="0"/>
    <s v=" --"/>
    <n v="0"/>
  </r>
  <r>
    <x v="0"/>
    <s v="Enabled"/>
    <x v="24"/>
    <x v="0"/>
    <x v="0"/>
    <s v="Not eligible"/>
    <s v="rarely served; ad group paused; campaign paused"/>
    <n v="0"/>
    <s v="CAD"/>
    <n v="0"/>
    <n v="0"/>
    <n v="0"/>
    <n v="0"/>
    <s v=" --"/>
    <n v="0"/>
    <s v=" --"/>
    <n v="0"/>
  </r>
  <r>
    <x v="0"/>
    <s v="Enabled"/>
    <x v="25"/>
    <x v="2"/>
    <x v="0"/>
    <s v="Not eligible"/>
    <s v="rarely served; ad group paused; campaign paused"/>
    <n v="0"/>
    <s v="CAD"/>
    <n v="0"/>
    <n v="0"/>
    <n v="0"/>
    <n v="0"/>
    <s v=" --"/>
    <n v="0"/>
    <s v=" --"/>
    <n v="0"/>
  </r>
  <r>
    <x v="0"/>
    <s v="Paused"/>
    <x v="26"/>
    <x v="1"/>
    <x v="0"/>
    <s v="Paused"/>
    <s v="paused; ad group paused; campaign paused"/>
    <n v="0"/>
    <s v="CAD"/>
    <n v="0"/>
    <n v="0"/>
    <n v="0"/>
    <n v="0"/>
    <s v=" --"/>
    <n v="0"/>
    <s v=" --"/>
    <n v="0"/>
  </r>
  <r>
    <x v="0"/>
    <s v="Enabled"/>
    <x v="27"/>
    <x v="1"/>
    <x v="0"/>
    <s v="Not eligible"/>
    <s v="ad group paused; campaign paused"/>
    <n v="0"/>
    <s v="CAD"/>
    <n v="0"/>
    <n v="0"/>
    <n v="0"/>
    <n v="0"/>
    <s v=" --"/>
    <n v="0"/>
    <n v="3"/>
    <n v="0"/>
  </r>
  <r>
    <x v="0"/>
    <s v="Enabled"/>
    <x v="28"/>
    <x v="1"/>
    <x v="0"/>
    <s v="Not eligible"/>
    <s v="ad group paused; campaign paused"/>
    <n v="0"/>
    <s v="CAD"/>
    <n v="0"/>
    <n v="0"/>
    <n v="0"/>
    <n v="0"/>
    <s v=" --"/>
    <n v="0"/>
    <s v=" --"/>
    <n v="0"/>
  </r>
  <r>
    <x v="0"/>
    <s v="Enabled"/>
    <x v="29"/>
    <x v="2"/>
    <x v="0"/>
    <s v="Not eligible"/>
    <s v="rarely served; ad group paused; campaign paused"/>
    <n v="0"/>
    <s v="CAD"/>
    <n v="0"/>
    <n v="0"/>
    <n v="0"/>
    <n v="0"/>
    <s v=" --"/>
    <n v="0"/>
    <s v=" --"/>
    <n v="0"/>
  </r>
  <r>
    <x v="0"/>
    <s v="Enabled"/>
    <x v="30"/>
    <x v="0"/>
    <x v="0"/>
    <s v="Not eligible"/>
    <s v="ad group paused; campaign paused"/>
    <n v="0"/>
    <s v="CAD"/>
    <n v="0"/>
    <n v="0"/>
    <n v="0"/>
    <n v="0"/>
    <s v=" --"/>
    <n v="0"/>
    <s v=" --"/>
    <n v="0"/>
  </r>
  <r>
    <x v="0"/>
    <s v="Enabled"/>
    <x v="31"/>
    <x v="2"/>
    <x v="0"/>
    <s v="Not eligible"/>
    <s v="ad group paused; campaign paused"/>
    <n v="0"/>
    <s v="CAD"/>
    <n v="0"/>
    <n v="0"/>
    <n v="0"/>
    <n v="0"/>
    <s v=" --"/>
    <n v="0"/>
    <s v=" --"/>
    <n v="0"/>
  </r>
  <r>
    <x v="0"/>
    <s v="Enabled"/>
    <x v="32"/>
    <x v="0"/>
    <x v="0"/>
    <s v="Not eligible"/>
    <s v="rarely served; ad group paused; campaign paused"/>
    <n v="0"/>
    <s v="CAD"/>
    <n v="0"/>
    <n v="0"/>
    <n v="0"/>
    <n v="0"/>
    <s v=" --"/>
    <n v="0"/>
    <s v=" --"/>
    <n v="0"/>
  </r>
  <r>
    <x v="0"/>
    <s v="Enabled"/>
    <x v="33"/>
    <x v="1"/>
    <x v="0"/>
    <s v="Not eligible"/>
    <s v="ad group paused; campaign paused"/>
    <n v="0"/>
    <s v="CAD"/>
    <n v="0"/>
    <n v="0"/>
    <n v="0"/>
    <n v="0"/>
    <s v=" --"/>
    <n v="0"/>
    <s v=" --"/>
    <n v="0"/>
  </r>
  <r>
    <x v="0"/>
    <s v="Paused"/>
    <x v="34"/>
    <x v="1"/>
    <x v="0"/>
    <s v="Paused"/>
    <s v="paused; ad group paused; campaign paused"/>
    <n v="0"/>
    <s v="CAD"/>
    <n v="0"/>
    <n v="0"/>
    <n v="0"/>
    <n v="0"/>
    <s v=" --"/>
    <n v="0"/>
    <n v="8"/>
    <n v="0"/>
  </r>
  <r>
    <x v="0"/>
    <s v="Enabled"/>
    <x v="35"/>
    <x v="0"/>
    <x v="0"/>
    <s v="Not eligible"/>
    <s v="ad group paused; campaign paused"/>
    <n v="0"/>
    <s v="CAD"/>
    <n v="0"/>
    <n v="2"/>
    <n v="7.72"/>
    <n v="43"/>
    <n v="4.65E-2"/>
    <n v="3.86"/>
    <s v=" --"/>
    <n v="0"/>
  </r>
  <r>
    <x v="0"/>
    <s v="Enabled"/>
    <x v="36"/>
    <x v="1"/>
    <x v="0"/>
    <s v="Not eligible"/>
    <s v="ad group paused; campaign paused"/>
    <n v="0"/>
    <s v="CAD"/>
    <n v="0"/>
    <n v="0"/>
    <n v="0"/>
    <n v="4"/>
    <n v="0"/>
    <n v="0"/>
    <s v=" --"/>
    <n v="0"/>
  </r>
  <r>
    <x v="0"/>
    <s v="Enabled"/>
    <x v="37"/>
    <x v="1"/>
    <x v="0"/>
    <s v="Not eligible"/>
    <s v="rarely served; ad group paused; campaign paused"/>
    <n v="0"/>
    <s v="CAD"/>
    <n v="0"/>
    <n v="0"/>
    <n v="0"/>
    <n v="0"/>
    <s v=" --"/>
    <n v="0"/>
    <s v=" --"/>
    <n v="0"/>
  </r>
  <r>
    <x v="0"/>
    <s v="Paused"/>
    <x v="38"/>
    <x v="2"/>
    <x v="0"/>
    <s v="Paused"/>
    <s v="paused; ad group paused; campaign paused"/>
    <n v="0"/>
    <s v="CAD"/>
    <n v="0"/>
    <n v="0"/>
    <n v="0"/>
    <n v="0"/>
    <s v=" --"/>
    <n v="0"/>
    <s v=" --"/>
    <n v="0"/>
  </r>
  <r>
    <x v="0"/>
    <s v="Enabled"/>
    <x v="39"/>
    <x v="1"/>
    <x v="0"/>
    <s v="Not eligible"/>
    <s v="ad group paused; campaign paused"/>
    <n v="0"/>
    <s v="CAD"/>
    <n v="0"/>
    <n v="0"/>
    <n v="0"/>
    <n v="0"/>
    <s v=" --"/>
    <n v="0"/>
    <s v=" --"/>
    <n v="0"/>
  </r>
  <r>
    <x v="0"/>
    <s v="Enabled"/>
    <x v="40"/>
    <x v="0"/>
    <x v="0"/>
    <s v="Not eligible"/>
    <s v="ad group paused; campaign paused"/>
    <n v="0"/>
    <s v="CAD"/>
    <n v="0"/>
    <n v="0"/>
    <n v="0"/>
    <n v="4"/>
    <n v="0"/>
    <n v="0"/>
    <s v=" --"/>
    <n v="0"/>
  </r>
  <r>
    <x v="0"/>
    <s v="Paused"/>
    <x v="41"/>
    <x v="1"/>
    <x v="0"/>
    <s v="Paused"/>
    <s v="paused; ad group paused; campaign paused"/>
    <n v="0"/>
    <s v="CAD"/>
    <n v="0"/>
    <n v="0"/>
    <n v="0"/>
    <n v="0"/>
    <s v=" --"/>
    <n v="0"/>
    <s v=" --"/>
    <n v="0"/>
  </r>
  <r>
    <x v="0"/>
    <s v="Enabled"/>
    <x v="42"/>
    <x v="2"/>
    <x v="0"/>
    <s v="Not eligible"/>
    <s v="ad group paused; campaign paused"/>
    <n v="0"/>
    <s v="CAD"/>
    <n v="0"/>
    <n v="0"/>
    <n v="0"/>
    <n v="0"/>
    <s v=" --"/>
    <n v="0"/>
    <s v=" --"/>
    <n v="0"/>
  </r>
  <r>
    <x v="0"/>
    <s v="Paused"/>
    <x v="43"/>
    <x v="2"/>
    <x v="0"/>
    <s v="Paused"/>
    <s v="paused; ad group paused; campaign paused"/>
    <n v="0"/>
    <s v="CAD"/>
    <n v="0"/>
    <n v="0"/>
    <n v="0"/>
    <n v="4"/>
    <n v="0"/>
    <n v="0"/>
    <n v="8"/>
    <n v="0"/>
  </r>
  <r>
    <x v="0"/>
    <s v="Enabled"/>
    <x v="44"/>
    <x v="2"/>
    <x v="0"/>
    <s v="Not eligible"/>
    <s v="ad group paused; campaign paused"/>
    <n v="0"/>
    <s v="CAD"/>
    <n v="0"/>
    <n v="0"/>
    <n v="0"/>
    <n v="0"/>
    <s v=" --"/>
    <n v="0"/>
    <s v=" --"/>
    <n v="0"/>
  </r>
  <r>
    <x v="0"/>
    <s v="Enabled"/>
    <x v="45"/>
    <x v="0"/>
    <x v="0"/>
    <s v="Not eligible"/>
    <s v="ad group paused; campaign paused"/>
    <n v="0"/>
    <s v="CAD"/>
    <n v="0"/>
    <n v="0"/>
    <n v="0"/>
    <n v="0"/>
    <s v=" --"/>
    <n v="0"/>
    <s v=" --"/>
    <n v="0"/>
  </r>
  <r>
    <x v="0"/>
    <s v="Enabled"/>
    <x v="46"/>
    <x v="0"/>
    <x v="0"/>
    <s v="Not eligible"/>
    <s v="ad group paused; campaign paused"/>
    <n v="0"/>
    <s v="CAD"/>
    <n v="0"/>
    <n v="0"/>
    <n v="0"/>
    <n v="12"/>
    <n v="0"/>
    <n v="0"/>
    <s v=" --"/>
    <n v="0"/>
  </r>
  <r>
    <x v="0"/>
    <s v="Enabled"/>
    <x v="47"/>
    <x v="1"/>
    <x v="0"/>
    <s v="Not eligible"/>
    <s v="ad group paused; campaign paused"/>
    <n v="0"/>
    <s v="CAD"/>
    <n v="0"/>
    <n v="0"/>
    <n v="0"/>
    <n v="0"/>
    <s v=" --"/>
    <n v="0"/>
    <s v=" --"/>
    <n v="0"/>
  </r>
  <r>
    <x v="0"/>
    <s v="Enabled"/>
    <x v="48"/>
    <x v="0"/>
    <x v="1"/>
    <s v="Not eligible"/>
    <s v="campaign paused"/>
    <n v="0"/>
    <s v="CAD"/>
    <n v="0"/>
    <n v="0"/>
    <n v="0"/>
    <n v="0"/>
    <s v=" --"/>
    <n v="0"/>
    <s v=" --"/>
    <n v="0"/>
  </r>
  <r>
    <x v="0"/>
    <s v="Enabled"/>
    <x v="49"/>
    <x v="0"/>
    <x v="1"/>
    <s v="Not eligible"/>
    <s v="campaign paused"/>
    <n v="0"/>
    <s v="CAD"/>
    <n v="0"/>
    <n v="0"/>
    <n v="0"/>
    <n v="0"/>
    <s v=" --"/>
    <n v="0"/>
    <s v=" --"/>
    <n v="0"/>
  </r>
  <r>
    <x v="0"/>
    <s v="Enabled"/>
    <x v="50"/>
    <x v="0"/>
    <x v="1"/>
    <s v="Not eligible"/>
    <s v="campaign paused"/>
    <n v="0"/>
    <s v="CAD"/>
    <n v="0"/>
    <n v="0"/>
    <n v="0"/>
    <n v="0"/>
    <s v=" --"/>
    <n v="0"/>
    <s v=" --"/>
    <n v="0"/>
  </r>
  <r>
    <x v="0"/>
    <s v="Enabled"/>
    <x v="51"/>
    <x v="0"/>
    <x v="1"/>
    <s v="Not eligible"/>
    <s v="campaign paused"/>
    <n v="0"/>
    <s v="CAD"/>
    <n v="0"/>
    <n v="0"/>
    <n v="0"/>
    <n v="1"/>
    <n v="0"/>
    <n v="0"/>
    <s v=" --"/>
    <n v="0"/>
  </r>
  <r>
    <x v="0"/>
    <s v="Enabled"/>
    <x v="52"/>
    <x v="2"/>
    <x v="1"/>
    <s v="Not eligible"/>
    <s v="campaign paused"/>
    <n v="0"/>
    <s v="CAD"/>
    <n v="0"/>
    <n v="0"/>
    <n v="0"/>
    <n v="0"/>
    <s v=" --"/>
    <n v="0"/>
    <s v=" --"/>
    <n v="0"/>
  </r>
  <r>
    <x v="0"/>
    <s v="Enabled"/>
    <x v="53"/>
    <x v="0"/>
    <x v="1"/>
    <s v="Not eligible"/>
    <s v="campaign paused"/>
    <n v="0"/>
    <s v="CAD"/>
    <n v="0"/>
    <n v="0"/>
    <n v="0"/>
    <n v="0"/>
    <s v=" --"/>
    <n v="0"/>
    <s v=" --"/>
    <n v="0"/>
  </r>
  <r>
    <x v="0"/>
    <s v="Enabled"/>
    <x v="54"/>
    <x v="0"/>
    <x v="1"/>
    <s v="Not eligible"/>
    <s v="campaign paused"/>
    <n v="0"/>
    <s v="CAD"/>
    <n v="0"/>
    <n v="0"/>
    <n v="0"/>
    <n v="0"/>
    <s v=" --"/>
    <n v="0"/>
    <s v=" --"/>
    <n v="0"/>
  </r>
  <r>
    <x v="0"/>
    <s v="Enabled"/>
    <x v="55"/>
    <x v="0"/>
    <x v="1"/>
    <s v="Not eligible"/>
    <s v="campaign paused"/>
    <n v="0"/>
    <s v="CAD"/>
    <n v="0"/>
    <n v="0"/>
    <n v="0"/>
    <n v="0"/>
    <s v=" --"/>
    <n v="0"/>
    <s v=" --"/>
    <n v="0"/>
  </r>
  <r>
    <x v="0"/>
    <s v="Enabled"/>
    <x v="56"/>
    <x v="0"/>
    <x v="1"/>
    <s v="Not eligible"/>
    <s v="campaign paused"/>
    <n v="0"/>
    <s v="CAD"/>
    <n v="0"/>
    <n v="0"/>
    <n v="0"/>
    <n v="0"/>
    <s v=" --"/>
    <n v="0"/>
    <s v=" --"/>
    <n v="0"/>
  </r>
  <r>
    <x v="0"/>
    <s v="Enabled"/>
    <x v="57"/>
    <x v="0"/>
    <x v="1"/>
    <s v="Not eligible"/>
    <s v="campaign paused"/>
    <n v="0"/>
    <s v="CAD"/>
    <n v="0"/>
    <n v="0"/>
    <n v="0"/>
    <n v="0"/>
    <s v=" --"/>
    <n v="0"/>
    <s v=" --"/>
    <n v="0"/>
  </r>
  <r>
    <x v="0"/>
    <s v="Enabled"/>
    <x v="58"/>
    <x v="0"/>
    <x v="1"/>
    <s v="Not eligible"/>
    <s v="campaign paused"/>
    <n v="0"/>
    <s v="CAD"/>
    <n v="0"/>
    <n v="2"/>
    <n v="5.3"/>
    <n v="27"/>
    <n v="7.4099999999999999E-2"/>
    <n v="2.65"/>
    <s v=" --"/>
    <n v="0"/>
  </r>
  <r>
    <x v="0"/>
    <s v="Enabled"/>
    <x v="59"/>
    <x v="0"/>
    <x v="1"/>
    <s v="Not eligible"/>
    <s v="campaign paused"/>
    <n v="0"/>
    <s v="CAD"/>
    <n v="0"/>
    <n v="0"/>
    <n v="0"/>
    <n v="0"/>
    <s v=" --"/>
    <n v="0"/>
    <s v=" --"/>
    <n v="0"/>
  </r>
  <r>
    <x v="0"/>
    <s v="Enabled"/>
    <x v="60"/>
    <x v="0"/>
    <x v="1"/>
    <s v="Not eligible"/>
    <s v="campaign paused"/>
    <n v="0"/>
    <s v="CAD"/>
    <n v="0"/>
    <n v="0"/>
    <n v="0"/>
    <n v="0"/>
    <s v=" --"/>
    <n v="0"/>
    <s v=" --"/>
    <n v="0"/>
  </r>
  <r>
    <x v="0"/>
    <s v="Enabled"/>
    <x v="15"/>
    <x v="0"/>
    <x v="1"/>
    <s v="Not eligible"/>
    <s v="low quality; campaign paused"/>
    <n v="0"/>
    <s v="CAD"/>
    <n v="0"/>
    <n v="0"/>
    <n v="0"/>
    <n v="1"/>
    <n v="0"/>
    <n v="0"/>
    <n v="1"/>
    <n v="0"/>
  </r>
  <r>
    <x v="0"/>
    <s v="Enabled"/>
    <x v="61"/>
    <x v="0"/>
    <x v="1"/>
    <s v="Not eligible"/>
    <s v="campaign paused"/>
    <n v="0"/>
    <s v="CAD"/>
    <n v="0"/>
    <n v="0"/>
    <n v="0"/>
    <n v="0"/>
    <s v=" --"/>
    <n v="0"/>
    <s v=" --"/>
    <n v="0"/>
  </r>
  <r>
    <x v="0"/>
    <s v="Enabled"/>
    <x v="62"/>
    <x v="0"/>
    <x v="1"/>
    <s v="Not eligible"/>
    <s v="campaign paused"/>
    <n v="0"/>
    <s v="CAD"/>
    <n v="0"/>
    <n v="0"/>
    <n v="0"/>
    <n v="0"/>
    <s v=" --"/>
    <n v="0"/>
    <s v=" --"/>
    <n v="0"/>
  </r>
  <r>
    <x v="0"/>
    <s v="Enabled"/>
    <x v="63"/>
    <x v="0"/>
    <x v="1"/>
    <s v="Not eligible"/>
    <s v="campaign paused"/>
    <n v="0"/>
    <s v="CAD"/>
    <n v="0"/>
    <n v="0"/>
    <n v="0"/>
    <n v="0"/>
    <s v=" --"/>
    <n v="0"/>
    <s v=" --"/>
    <n v="0"/>
  </r>
  <r>
    <x v="0"/>
    <s v="Enabled"/>
    <x v="64"/>
    <x v="0"/>
    <x v="1"/>
    <s v="Not eligible"/>
    <s v="campaign paused"/>
    <n v="0"/>
    <s v="CAD"/>
    <n v="0"/>
    <n v="0"/>
    <n v="0"/>
    <n v="0"/>
    <s v=" --"/>
    <n v="0"/>
    <s v=" --"/>
    <n v="0"/>
  </r>
  <r>
    <x v="0"/>
    <s v="Enabled"/>
    <x v="65"/>
    <x v="0"/>
    <x v="1"/>
    <s v="Not eligible"/>
    <s v="campaign paused"/>
    <n v="0"/>
    <s v="CAD"/>
    <n v="0"/>
    <n v="0"/>
    <n v="0"/>
    <n v="14"/>
    <n v="0"/>
    <n v="0"/>
    <s v=" --"/>
    <n v="0"/>
  </r>
  <r>
    <x v="0"/>
    <s v="Enabled"/>
    <x v="66"/>
    <x v="0"/>
    <x v="1"/>
    <s v="Not eligible"/>
    <s v="campaign paused"/>
    <n v="0"/>
    <s v="CAD"/>
    <n v="0"/>
    <n v="0"/>
    <n v="0"/>
    <n v="0"/>
    <s v=" --"/>
    <n v="0"/>
    <s v=" --"/>
    <n v="0"/>
  </r>
  <r>
    <x v="0"/>
    <s v="Enabled"/>
    <x v="67"/>
    <x v="0"/>
    <x v="1"/>
    <s v="Not eligible"/>
    <s v="campaign paused"/>
    <n v="0"/>
    <s v="CAD"/>
    <n v="0"/>
    <n v="0"/>
    <n v="0"/>
    <n v="14"/>
    <n v="0"/>
    <n v="0"/>
    <s v=" --"/>
    <n v="0"/>
  </r>
  <r>
    <x v="0"/>
    <s v="Enabled"/>
    <x v="68"/>
    <x v="0"/>
    <x v="1"/>
    <s v="Not eligible"/>
    <s v="campaign paused"/>
    <n v="0"/>
    <s v="CAD"/>
    <n v="0"/>
    <n v="0"/>
    <n v="0"/>
    <n v="0"/>
    <s v=" --"/>
    <n v="0"/>
    <s v=" --"/>
    <n v="0"/>
  </r>
  <r>
    <x v="0"/>
    <s v="Paused"/>
    <x v="69"/>
    <x v="0"/>
    <x v="1"/>
    <s v="Paused"/>
    <s v="paused; campaign paused"/>
    <n v="0"/>
    <s v="CAD"/>
    <n v="0"/>
    <n v="5"/>
    <n v="36.04"/>
    <n v="148"/>
    <n v="3.3799999999999997E-2"/>
    <n v="7.21"/>
    <s v=" --"/>
    <n v="0"/>
  </r>
  <r>
    <x v="0"/>
    <s v="Enabled"/>
    <x v="70"/>
    <x v="0"/>
    <x v="1"/>
    <s v="Not eligible"/>
    <s v="campaign paused"/>
    <n v="0"/>
    <s v="CAD"/>
    <n v="0"/>
    <n v="0"/>
    <n v="0"/>
    <n v="7"/>
    <n v="0"/>
    <n v="0"/>
    <s v=" --"/>
    <n v="0"/>
  </r>
  <r>
    <x v="0"/>
    <s v="Enabled"/>
    <x v="71"/>
    <x v="0"/>
    <x v="1"/>
    <s v="Not eligible"/>
    <s v="campaign paused"/>
    <n v="0"/>
    <s v="CAD"/>
    <n v="0"/>
    <n v="0"/>
    <n v="0"/>
    <n v="1"/>
    <n v="0"/>
    <n v="0"/>
    <s v=" --"/>
    <n v="0"/>
  </r>
  <r>
    <x v="0"/>
    <s v="Enabled"/>
    <x v="72"/>
    <x v="0"/>
    <x v="1"/>
    <s v="Not eligible"/>
    <s v="campaign paused"/>
    <n v="0"/>
    <s v="CAD"/>
    <n v="0"/>
    <n v="0"/>
    <n v="0"/>
    <n v="0"/>
    <s v=" --"/>
    <n v="0"/>
    <s v=" --"/>
    <n v="0"/>
  </r>
  <r>
    <x v="0"/>
    <s v="Enabled"/>
    <x v="73"/>
    <x v="0"/>
    <x v="1"/>
    <s v="Not eligible"/>
    <s v="campaign paused"/>
    <n v="0"/>
    <s v="CAD"/>
    <n v="0"/>
    <n v="0"/>
    <n v="0"/>
    <n v="64"/>
    <n v="0"/>
    <n v="0"/>
    <s v=" --"/>
    <n v="0"/>
  </r>
  <r>
    <x v="0"/>
    <s v="Enabled"/>
    <x v="74"/>
    <x v="0"/>
    <x v="1"/>
    <s v="Not eligible"/>
    <s v="campaign paused"/>
    <n v="0"/>
    <s v="CAD"/>
    <n v="0"/>
    <n v="0"/>
    <n v="0"/>
    <n v="1"/>
    <n v="0"/>
    <n v="0"/>
    <s v=" --"/>
    <n v="0"/>
  </r>
  <r>
    <x v="0"/>
    <s v="Enabled"/>
    <x v="75"/>
    <x v="0"/>
    <x v="1"/>
    <s v="Not eligible"/>
    <s v="campaign paused"/>
    <n v="0"/>
    <s v="CAD"/>
    <n v="0"/>
    <n v="0"/>
    <n v="0"/>
    <n v="8"/>
    <n v="0"/>
    <n v="0"/>
    <s v=" --"/>
    <n v="0"/>
  </r>
  <r>
    <x v="0"/>
    <s v="Enabled"/>
    <x v="76"/>
    <x v="1"/>
    <x v="1"/>
    <s v="Not eligible"/>
    <s v="campaign paused"/>
    <n v="0"/>
    <s v="CAD"/>
    <n v="0"/>
    <n v="0"/>
    <n v="0"/>
    <n v="0"/>
    <s v=" --"/>
    <n v="0"/>
    <s v=" --"/>
    <n v="0"/>
  </r>
  <r>
    <x v="0"/>
    <s v="Enabled"/>
    <x v="77"/>
    <x v="0"/>
    <x v="1"/>
    <s v="Not eligible"/>
    <s v="campaign paused"/>
    <n v="0"/>
    <s v="CAD"/>
    <n v="0"/>
    <n v="0"/>
    <n v="0"/>
    <n v="0"/>
    <s v=" --"/>
    <n v="0"/>
    <s v=" --"/>
    <n v="0"/>
  </r>
  <r>
    <x v="0"/>
    <s v="Enabled"/>
    <x v="78"/>
    <x v="0"/>
    <x v="1"/>
    <s v="Not eligible"/>
    <s v="campaign paused"/>
    <n v="0"/>
    <s v="CAD"/>
    <n v="0"/>
    <n v="0"/>
    <n v="0"/>
    <n v="2"/>
    <n v="0"/>
    <n v="0"/>
    <s v=" --"/>
    <n v="0"/>
  </r>
  <r>
    <x v="0"/>
    <s v="Enabled"/>
    <x v="79"/>
    <x v="2"/>
    <x v="1"/>
    <s v="Not eligible"/>
    <s v="campaign paused"/>
    <n v="0"/>
    <s v="CAD"/>
    <n v="0"/>
    <n v="0"/>
    <n v="0"/>
    <n v="1"/>
    <n v="0"/>
    <n v="0"/>
    <n v="8"/>
    <n v="0"/>
  </r>
  <r>
    <x v="0"/>
    <s v="Enabled"/>
    <x v="80"/>
    <x v="0"/>
    <x v="1"/>
    <s v="Not eligible"/>
    <s v="campaign paused"/>
    <n v="0"/>
    <s v="CAD"/>
    <n v="0"/>
    <n v="0"/>
    <n v="0"/>
    <n v="49"/>
    <n v="0"/>
    <n v="0"/>
    <s v=" --"/>
    <n v="0"/>
  </r>
  <r>
    <x v="0"/>
    <s v="Enabled"/>
    <x v="81"/>
    <x v="0"/>
    <x v="1"/>
    <s v="Not eligible"/>
    <s v="campaign paused"/>
    <n v="0"/>
    <s v="CAD"/>
    <n v="0"/>
    <n v="0"/>
    <n v="0"/>
    <n v="0"/>
    <s v=" --"/>
    <n v="0"/>
    <s v=" --"/>
    <n v="0"/>
  </r>
  <r>
    <x v="0"/>
    <s v="Enabled"/>
    <x v="82"/>
    <x v="0"/>
    <x v="1"/>
    <s v="Not eligible"/>
    <s v="campaign paused"/>
    <n v="0"/>
    <s v="CAD"/>
    <n v="0"/>
    <n v="0"/>
    <n v="0"/>
    <n v="0"/>
    <s v=" --"/>
    <n v="0"/>
    <s v=" --"/>
    <n v="0"/>
  </r>
  <r>
    <x v="0"/>
    <s v="Enabled"/>
    <x v="83"/>
    <x v="2"/>
    <x v="1"/>
    <s v="Not eligible"/>
    <s v="campaign paused"/>
    <n v="0"/>
    <s v="CAD"/>
    <n v="0"/>
    <n v="0"/>
    <n v="0"/>
    <n v="0"/>
    <s v=" --"/>
    <n v="0"/>
    <s v=" --"/>
    <n v="0"/>
  </r>
  <r>
    <x v="0"/>
    <s v="Enabled"/>
    <x v="84"/>
    <x v="0"/>
    <x v="1"/>
    <s v="Not eligible"/>
    <s v="campaign paused"/>
    <n v="0"/>
    <s v="CAD"/>
    <n v="0"/>
    <n v="0"/>
    <n v="0"/>
    <n v="2"/>
    <n v="0"/>
    <n v="0"/>
    <s v=" --"/>
    <n v="0"/>
  </r>
  <r>
    <x v="0"/>
    <s v="Enabled"/>
    <x v="85"/>
    <x v="0"/>
    <x v="1"/>
    <s v="Not eligible"/>
    <s v="campaign paused"/>
    <n v="0"/>
    <s v="CAD"/>
    <n v="0"/>
    <n v="0"/>
    <n v="0"/>
    <n v="0"/>
    <s v=" --"/>
    <n v="0"/>
    <s v=" --"/>
    <n v="0"/>
  </r>
  <r>
    <x v="0"/>
    <s v="Enabled"/>
    <x v="86"/>
    <x v="0"/>
    <x v="1"/>
    <s v="Not eligible"/>
    <s v="low quality; campaign paused"/>
    <n v="0"/>
    <s v="CAD"/>
    <n v="0"/>
    <n v="0"/>
    <n v="0"/>
    <n v="2"/>
    <n v="0"/>
    <n v="0"/>
    <n v="1"/>
    <n v="0"/>
  </r>
  <r>
    <x v="0"/>
    <s v="Enabled"/>
    <x v="87"/>
    <x v="0"/>
    <x v="1"/>
    <s v="Not eligible"/>
    <s v="campaign paused"/>
    <n v="0"/>
    <s v="CAD"/>
    <n v="0"/>
    <n v="0"/>
    <n v="0"/>
    <n v="0"/>
    <s v=" --"/>
    <n v="0"/>
    <s v=" --"/>
    <n v="0"/>
  </r>
  <r>
    <x v="0"/>
    <s v="Enabled"/>
    <x v="88"/>
    <x v="0"/>
    <x v="1"/>
    <s v="Not eligible"/>
    <s v="campaign paused"/>
    <n v="0"/>
    <s v="CAD"/>
    <n v="0"/>
    <n v="0"/>
    <n v="0"/>
    <n v="0"/>
    <s v=" --"/>
    <n v="0"/>
    <s v=" --"/>
    <n v="0"/>
  </r>
  <r>
    <x v="0"/>
    <s v="Enabled"/>
    <x v="89"/>
    <x v="0"/>
    <x v="1"/>
    <s v="Not eligible"/>
    <s v="campaign paused"/>
    <n v="0"/>
    <s v="CAD"/>
    <n v="0"/>
    <n v="0"/>
    <n v="0"/>
    <n v="0"/>
    <s v=" --"/>
    <n v="0"/>
    <s v=" --"/>
    <n v="0"/>
  </r>
  <r>
    <x v="0"/>
    <s v="Enabled"/>
    <x v="90"/>
    <x v="2"/>
    <x v="1"/>
    <s v="Not eligible"/>
    <s v="campaign paused"/>
    <n v="0"/>
    <s v="CAD"/>
    <n v="0"/>
    <n v="0"/>
    <n v="0"/>
    <n v="0"/>
    <s v=" --"/>
    <n v="0"/>
    <s v=" --"/>
    <n v="0"/>
  </r>
  <r>
    <x v="0"/>
    <s v="Enabled"/>
    <x v="91"/>
    <x v="0"/>
    <x v="1"/>
    <s v="Not eligible"/>
    <s v="campaign paused"/>
    <n v="0"/>
    <s v="CAD"/>
    <n v="0"/>
    <n v="0"/>
    <n v="0"/>
    <n v="0"/>
    <s v=" --"/>
    <n v="0"/>
    <s v=" --"/>
    <n v="0"/>
  </r>
  <r>
    <x v="0"/>
    <s v="Enabled"/>
    <x v="92"/>
    <x v="0"/>
    <x v="1"/>
    <s v="Not eligible"/>
    <s v="campaign paused"/>
    <n v="0"/>
    <s v="CAD"/>
    <n v="0"/>
    <n v="0"/>
    <n v="0"/>
    <n v="0"/>
    <s v=" --"/>
    <n v="0"/>
    <s v=" --"/>
    <n v="0"/>
  </r>
  <r>
    <x v="0"/>
    <s v="Paused"/>
    <x v="93"/>
    <x v="0"/>
    <x v="1"/>
    <s v="Paused"/>
    <s v="paused; campaign paused"/>
    <n v="0"/>
    <s v="CAD"/>
    <n v="0"/>
    <n v="0"/>
    <n v="0"/>
    <n v="79"/>
    <n v="0"/>
    <n v="0"/>
    <s v=" --"/>
    <n v="0"/>
  </r>
  <r>
    <x v="0"/>
    <s v="Enabled"/>
    <x v="94"/>
    <x v="0"/>
    <x v="1"/>
    <s v="Not eligible"/>
    <s v="campaign paused"/>
    <n v="0"/>
    <s v="CAD"/>
    <n v="0"/>
    <n v="0"/>
    <n v="0"/>
    <n v="0"/>
    <s v=" --"/>
    <n v="0"/>
    <s v=" --"/>
    <n v="0"/>
  </r>
  <r>
    <x v="0"/>
    <s v="Enabled"/>
    <x v="95"/>
    <x v="1"/>
    <x v="1"/>
    <s v="Not eligible"/>
    <s v="campaign paused"/>
    <n v="0"/>
    <s v="CAD"/>
    <n v="0"/>
    <n v="0"/>
    <n v="0"/>
    <n v="0"/>
    <s v=" --"/>
    <n v="0"/>
    <s v=" --"/>
    <n v="0"/>
  </r>
  <r>
    <x v="0"/>
    <s v="Enabled"/>
    <x v="96"/>
    <x v="0"/>
    <x v="1"/>
    <s v="Not eligible"/>
    <s v="campaign paused"/>
    <n v="0"/>
    <s v="CAD"/>
    <n v="0"/>
    <n v="0"/>
    <n v="0"/>
    <n v="0"/>
    <s v=" --"/>
    <n v="0"/>
    <s v=" --"/>
    <n v="0"/>
  </r>
  <r>
    <x v="0"/>
    <s v="Enabled"/>
    <x v="97"/>
    <x v="0"/>
    <x v="1"/>
    <s v="Not eligible"/>
    <s v="campaign paused"/>
    <n v="0"/>
    <s v="CAD"/>
    <n v="0"/>
    <n v="0"/>
    <n v="0"/>
    <n v="1"/>
    <n v="0"/>
    <n v="0"/>
    <s v=" --"/>
    <n v="0"/>
  </r>
  <r>
    <x v="0"/>
    <s v="Enabled"/>
    <x v="98"/>
    <x v="0"/>
    <x v="1"/>
    <s v="Not eligible"/>
    <s v="campaign paused"/>
    <n v="0"/>
    <s v="CAD"/>
    <n v="0"/>
    <n v="0"/>
    <n v="0"/>
    <n v="0"/>
    <s v=" --"/>
    <n v="0"/>
    <s v=" --"/>
    <n v="0"/>
  </r>
  <r>
    <x v="0"/>
    <s v="Enabled"/>
    <x v="99"/>
    <x v="0"/>
    <x v="1"/>
    <s v="Not eligible"/>
    <s v="campaign paused"/>
    <n v="0"/>
    <s v="CAD"/>
    <n v="0"/>
    <n v="0"/>
    <n v="0"/>
    <n v="0"/>
    <s v=" --"/>
    <n v="0"/>
    <s v=" --"/>
    <n v="0"/>
  </r>
  <r>
    <x v="0"/>
    <s v="Enabled"/>
    <x v="100"/>
    <x v="0"/>
    <x v="1"/>
    <s v="Not eligible"/>
    <s v="campaign paused"/>
    <n v="0"/>
    <s v="CAD"/>
    <n v="0"/>
    <n v="0"/>
    <n v="0"/>
    <n v="0"/>
    <s v=" --"/>
    <n v="0"/>
    <s v=" --"/>
    <n v="0"/>
  </r>
  <r>
    <x v="0"/>
    <s v="Enabled"/>
    <x v="101"/>
    <x v="1"/>
    <x v="1"/>
    <s v="Not eligible"/>
    <s v="campaign paused"/>
    <n v="0"/>
    <s v="CAD"/>
    <n v="0"/>
    <n v="0"/>
    <n v="0"/>
    <n v="0"/>
    <s v=" --"/>
    <n v="0"/>
    <s v=" --"/>
    <n v="0"/>
  </r>
  <r>
    <x v="0"/>
    <s v="Enabled"/>
    <x v="102"/>
    <x v="0"/>
    <x v="1"/>
    <s v="Not eligible"/>
    <s v="campaign paused"/>
    <n v="0"/>
    <s v="CAD"/>
    <n v="0"/>
    <n v="0"/>
    <n v="0"/>
    <n v="0"/>
    <s v=" --"/>
    <n v="0"/>
    <s v=" --"/>
    <n v="0"/>
  </r>
  <r>
    <x v="0"/>
    <s v="Enabled"/>
    <x v="103"/>
    <x v="0"/>
    <x v="1"/>
    <s v="Not eligible"/>
    <s v="campaign paused"/>
    <n v="0"/>
    <s v="CAD"/>
    <n v="0"/>
    <n v="0"/>
    <n v="0"/>
    <n v="36"/>
    <n v="0"/>
    <n v="0"/>
    <s v=" --"/>
    <n v="0"/>
  </r>
  <r>
    <x v="0"/>
    <s v="Enabled"/>
    <x v="104"/>
    <x v="0"/>
    <x v="1"/>
    <s v="Not eligible"/>
    <s v="campaign paused"/>
    <n v="0"/>
    <s v="CAD"/>
    <n v="0"/>
    <n v="0"/>
    <n v="0"/>
    <n v="0"/>
    <s v=" --"/>
    <n v="0"/>
    <s v=" --"/>
    <n v="0"/>
  </r>
  <r>
    <x v="0"/>
    <s v="Enabled"/>
    <x v="105"/>
    <x v="0"/>
    <x v="1"/>
    <s v="Not eligible"/>
    <s v="campaign paused"/>
    <n v="0"/>
    <s v="CAD"/>
    <n v="0"/>
    <n v="0"/>
    <n v="0"/>
    <n v="51"/>
    <n v="0"/>
    <n v="0"/>
    <s v=" --"/>
    <n v="0"/>
  </r>
  <r>
    <x v="0"/>
    <s v="Enabled"/>
    <x v="106"/>
    <x v="0"/>
    <x v="1"/>
    <s v="Not eligible"/>
    <s v="low quality; campaign paused"/>
    <n v="0"/>
    <s v="CAD"/>
    <n v="0"/>
    <n v="0"/>
    <n v="0"/>
    <n v="1"/>
    <n v="0"/>
    <n v="0"/>
    <n v="1"/>
    <n v="0"/>
  </r>
  <r>
    <x v="0"/>
    <s v="Enabled"/>
    <x v="107"/>
    <x v="0"/>
    <x v="1"/>
    <s v="Not eligible"/>
    <s v="campaign paused"/>
    <n v="8"/>
    <s v="CAD"/>
    <n v="5.66"/>
    <n v="11"/>
    <n v="45.25"/>
    <n v="226"/>
    <n v="4.87E-2"/>
    <n v="4.1100000000000003"/>
    <n v="8"/>
    <n v="0.72729999999999995"/>
  </r>
  <r>
    <x v="0"/>
    <s v="Enabled"/>
    <x v="108"/>
    <x v="1"/>
    <x v="1"/>
    <s v="Not eligible"/>
    <s v="campaign paused"/>
    <n v="0"/>
    <s v="CAD"/>
    <n v="0"/>
    <n v="0"/>
    <n v="0"/>
    <n v="0"/>
    <s v=" --"/>
    <n v="0"/>
    <s v=" --"/>
    <n v="0"/>
  </r>
  <r>
    <x v="0"/>
    <s v="Enabled"/>
    <x v="109"/>
    <x v="0"/>
    <x v="1"/>
    <s v="Not eligible"/>
    <s v="campaign paused"/>
    <n v="0"/>
    <s v="CAD"/>
    <n v="0"/>
    <n v="0"/>
    <n v="0"/>
    <n v="0"/>
    <s v=" --"/>
    <n v="0"/>
    <s v=" --"/>
    <n v="0"/>
  </r>
  <r>
    <x v="0"/>
    <s v="Enabled"/>
    <x v="110"/>
    <x v="0"/>
    <x v="1"/>
    <s v="Not eligible"/>
    <s v="campaign paused"/>
    <n v="0"/>
    <s v="CAD"/>
    <n v="0"/>
    <n v="0"/>
    <n v="0"/>
    <n v="0"/>
    <s v=" --"/>
    <n v="0"/>
    <s v=" --"/>
    <n v="0"/>
  </r>
  <r>
    <x v="0"/>
    <s v="Enabled"/>
    <x v="111"/>
    <x v="0"/>
    <x v="1"/>
    <s v="Not eligible"/>
    <s v="campaign paused"/>
    <n v="0"/>
    <s v="CAD"/>
    <n v="0"/>
    <n v="0"/>
    <n v="0"/>
    <n v="0"/>
    <s v=" --"/>
    <n v="0"/>
    <s v=" --"/>
    <n v="0"/>
  </r>
  <r>
    <x v="0"/>
    <s v="Enabled"/>
    <x v="112"/>
    <x v="0"/>
    <x v="1"/>
    <s v="Not eligible"/>
    <s v="campaign paused"/>
    <n v="0"/>
    <s v="CAD"/>
    <n v="0"/>
    <n v="0"/>
    <n v="0"/>
    <n v="0"/>
    <s v=" --"/>
    <n v="0"/>
    <s v=" --"/>
    <n v="0"/>
  </r>
  <r>
    <x v="0"/>
    <s v="Enabled"/>
    <x v="113"/>
    <x v="0"/>
    <x v="1"/>
    <s v="Not eligible"/>
    <s v="campaign paused"/>
    <n v="0"/>
    <s v="CAD"/>
    <n v="0"/>
    <n v="0"/>
    <n v="0"/>
    <n v="0"/>
    <s v=" --"/>
    <n v="0"/>
    <s v=" --"/>
    <n v="0"/>
  </r>
  <r>
    <x v="0"/>
    <s v="Enabled"/>
    <x v="114"/>
    <x v="2"/>
    <x v="1"/>
    <s v="Not eligible"/>
    <s v="campaign paused"/>
    <n v="0"/>
    <s v="CAD"/>
    <n v="0"/>
    <n v="0"/>
    <n v="0"/>
    <n v="0"/>
    <s v=" --"/>
    <n v="0"/>
    <s v=" --"/>
    <n v="0"/>
  </r>
  <r>
    <x v="0"/>
    <s v="Enabled"/>
    <x v="115"/>
    <x v="0"/>
    <x v="1"/>
    <s v="Not eligible"/>
    <s v="campaign paused"/>
    <n v="0"/>
    <s v="CAD"/>
    <n v="0"/>
    <n v="0"/>
    <n v="0"/>
    <n v="0"/>
    <s v=" --"/>
    <n v="0"/>
    <s v=" --"/>
    <n v="0"/>
  </r>
  <r>
    <x v="0"/>
    <s v="Enabled"/>
    <x v="116"/>
    <x v="0"/>
    <x v="1"/>
    <s v="Not eligible"/>
    <s v="campaign paused"/>
    <n v="0"/>
    <s v="CAD"/>
    <n v="0"/>
    <n v="0"/>
    <n v="0"/>
    <n v="0"/>
    <s v=" --"/>
    <n v="0"/>
    <s v=" --"/>
    <n v="0"/>
  </r>
  <r>
    <x v="0"/>
    <s v="Enabled"/>
    <x v="117"/>
    <x v="0"/>
    <x v="1"/>
    <s v="Not eligible"/>
    <s v="campaign paused"/>
    <n v="0"/>
    <s v="CAD"/>
    <n v="0"/>
    <n v="0"/>
    <n v="0"/>
    <n v="3"/>
    <n v="0"/>
    <n v="0"/>
    <s v=" --"/>
    <n v="0"/>
  </r>
  <r>
    <x v="0"/>
    <s v="Enabled"/>
    <x v="118"/>
    <x v="0"/>
    <x v="1"/>
    <s v="Not eligible"/>
    <s v="campaign paused"/>
    <n v="0"/>
    <s v="CAD"/>
    <n v="0"/>
    <n v="0"/>
    <n v="0"/>
    <n v="17"/>
    <n v="0"/>
    <n v="0"/>
    <s v=" --"/>
    <n v="0"/>
  </r>
  <r>
    <x v="0"/>
    <s v="Paused"/>
    <x v="119"/>
    <x v="0"/>
    <x v="1"/>
    <s v="Paused"/>
    <s v="paused; campaign paused"/>
    <n v="0"/>
    <s v="CAD"/>
    <n v="0"/>
    <n v="3"/>
    <n v="14.92"/>
    <n v="63"/>
    <n v="4.7600000000000003E-2"/>
    <n v="4.97"/>
    <s v=" --"/>
    <n v="0"/>
  </r>
  <r>
    <x v="0"/>
    <s v="Enabled"/>
    <x v="120"/>
    <x v="2"/>
    <x v="1"/>
    <s v="Not eligible"/>
    <s v="campaign paused"/>
    <n v="0"/>
    <s v="CAD"/>
    <n v="0"/>
    <n v="0"/>
    <n v="0"/>
    <n v="0"/>
    <s v=" --"/>
    <n v="0"/>
    <s v=" --"/>
    <n v="0"/>
  </r>
  <r>
    <x v="0"/>
    <s v="Enabled"/>
    <x v="121"/>
    <x v="1"/>
    <x v="1"/>
    <s v="Not eligible"/>
    <s v="campaign paused"/>
    <n v="0"/>
    <s v="CAD"/>
    <n v="0"/>
    <n v="0"/>
    <n v="0"/>
    <n v="1"/>
    <n v="0"/>
    <n v="0"/>
    <n v="8"/>
    <n v="0"/>
  </r>
  <r>
    <x v="0"/>
    <s v="Enabled"/>
    <x v="122"/>
    <x v="0"/>
    <x v="1"/>
    <s v="Not eligible"/>
    <s v="campaign paused"/>
    <n v="0"/>
    <s v="CAD"/>
    <n v="0"/>
    <n v="0"/>
    <n v="0"/>
    <n v="4"/>
    <n v="0"/>
    <n v="0"/>
    <s v=" --"/>
    <n v="0"/>
  </r>
  <r>
    <x v="0"/>
    <s v="Enabled"/>
    <x v="123"/>
    <x v="0"/>
    <x v="1"/>
    <s v="Not eligible"/>
    <s v="campaign paused"/>
    <n v="1"/>
    <s v="CAD"/>
    <n v="5.62"/>
    <n v="1"/>
    <n v="5.62"/>
    <n v="6"/>
    <n v="0.16669999999999999"/>
    <n v="5.62"/>
    <s v=" --"/>
    <n v="1"/>
  </r>
  <r>
    <x v="0"/>
    <s v="Enabled"/>
    <x v="124"/>
    <x v="0"/>
    <x v="1"/>
    <s v="Not eligible"/>
    <s v="campaign paused"/>
    <n v="0"/>
    <s v="CAD"/>
    <n v="0"/>
    <n v="0"/>
    <n v="0"/>
    <n v="0"/>
    <s v=" --"/>
    <n v="0"/>
    <s v=" --"/>
    <n v="0"/>
  </r>
  <r>
    <x v="0"/>
    <s v="Enabled"/>
    <x v="125"/>
    <x v="1"/>
    <x v="1"/>
    <s v="Not eligible"/>
    <s v="campaign paused"/>
    <n v="0"/>
    <s v="CAD"/>
    <n v="0"/>
    <n v="0"/>
    <n v="0"/>
    <n v="0"/>
    <s v=" --"/>
    <n v="0"/>
    <s v=" --"/>
    <n v="0"/>
  </r>
  <r>
    <x v="0"/>
    <s v="Enabled"/>
    <x v="126"/>
    <x v="0"/>
    <x v="1"/>
    <s v="Not eligible"/>
    <s v="campaign paused"/>
    <n v="0"/>
    <s v="CAD"/>
    <n v="0"/>
    <n v="0"/>
    <n v="0"/>
    <n v="0"/>
    <s v=" --"/>
    <n v="0"/>
    <s v=" --"/>
    <n v="0"/>
  </r>
  <r>
    <x v="0"/>
    <s v="Enabled"/>
    <x v="127"/>
    <x v="0"/>
    <x v="1"/>
    <s v="Not eligible"/>
    <s v="campaign paused"/>
    <n v="0"/>
    <s v="CAD"/>
    <n v="0"/>
    <n v="0"/>
    <n v="0"/>
    <n v="0"/>
    <s v=" --"/>
    <n v="0"/>
    <s v=" --"/>
    <n v="0"/>
  </r>
  <r>
    <x v="0"/>
    <s v="Enabled"/>
    <x v="128"/>
    <x v="0"/>
    <x v="1"/>
    <s v="Not eligible"/>
    <s v="campaign paused"/>
    <n v="0"/>
    <s v="CAD"/>
    <n v="0"/>
    <n v="0"/>
    <n v="0"/>
    <n v="0"/>
    <s v=" --"/>
    <n v="0"/>
    <s v=" --"/>
    <n v="0"/>
  </r>
  <r>
    <x v="0"/>
    <s v="Enabled"/>
    <x v="129"/>
    <x v="0"/>
    <x v="1"/>
    <s v="Not eligible"/>
    <s v="campaign paused"/>
    <n v="0"/>
    <s v="CAD"/>
    <n v="0"/>
    <n v="0"/>
    <n v="0"/>
    <n v="0"/>
    <s v=" --"/>
    <n v="0"/>
    <s v=" --"/>
    <n v="0"/>
  </r>
  <r>
    <x v="0"/>
    <s v="Enabled"/>
    <x v="130"/>
    <x v="0"/>
    <x v="1"/>
    <s v="Not eligible"/>
    <s v="campaign paused"/>
    <n v="0"/>
    <s v="CAD"/>
    <n v="0"/>
    <n v="0"/>
    <n v="0"/>
    <n v="0"/>
    <s v=" --"/>
    <n v="0"/>
    <s v=" --"/>
    <n v="0"/>
  </r>
  <r>
    <x v="0"/>
    <s v="Enabled"/>
    <x v="131"/>
    <x v="0"/>
    <x v="1"/>
    <s v="Not eligible"/>
    <s v="campaign paused"/>
    <n v="0"/>
    <s v="CAD"/>
    <n v="0"/>
    <n v="1"/>
    <n v="6.66"/>
    <n v="19"/>
    <n v="5.2600000000000001E-2"/>
    <n v="6.66"/>
    <s v=" --"/>
    <n v="0"/>
  </r>
  <r>
    <x v="0"/>
    <s v="Enabled"/>
    <x v="132"/>
    <x v="0"/>
    <x v="1"/>
    <s v="Not eligible"/>
    <s v="campaign paused"/>
    <n v="0"/>
    <s v="CAD"/>
    <n v="0"/>
    <n v="0"/>
    <n v="0"/>
    <n v="1"/>
    <n v="0"/>
    <n v="0"/>
    <s v=" --"/>
    <n v="0"/>
  </r>
  <r>
    <x v="0"/>
    <s v="Enabled"/>
    <x v="133"/>
    <x v="0"/>
    <x v="1"/>
    <s v="Not eligible"/>
    <s v="campaign paused"/>
    <n v="0"/>
    <s v="CAD"/>
    <n v="0"/>
    <n v="0"/>
    <n v="0"/>
    <n v="2"/>
    <n v="0"/>
    <n v="0"/>
    <s v=" --"/>
    <n v="0"/>
  </r>
  <r>
    <x v="0"/>
    <s v="Enabled"/>
    <x v="134"/>
    <x v="0"/>
    <x v="1"/>
    <s v="Not eligible"/>
    <s v="campaign paused"/>
    <n v="0"/>
    <s v="CAD"/>
    <n v="0"/>
    <n v="0"/>
    <n v="0"/>
    <n v="0"/>
    <s v=" --"/>
    <n v="0"/>
    <s v=" --"/>
    <n v="0"/>
  </r>
  <r>
    <x v="0"/>
    <s v="Enabled"/>
    <x v="135"/>
    <x v="0"/>
    <x v="1"/>
    <s v="Not eligible"/>
    <s v="campaign paused"/>
    <n v="0"/>
    <s v="CAD"/>
    <n v="0"/>
    <n v="0"/>
    <n v="0"/>
    <n v="0"/>
    <s v=" --"/>
    <n v="0"/>
    <s v=" --"/>
    <n v="0"/>
  </r>
  <r>
    <x v="0"/>
    <s v="Enabled"/>
    <x v="136"/>
    <x v="0"/>
    <x v="1"/>
    <s v="Not eligible"/>
    <s v="campaign paused"/>
    <n v="0"/>
    <s v="CAD"/>
    <n v="0"/>
    <n v="0"/>
    <n v="0"/>
    <n v="0"/>
    <s v=" --"/>
    <n v="0"/>
    <s v=" --"/>
    <n v="0"/>
  </r>
  <r>
    <x v="0"/>
    <s v="Enabled"/>
    <x v="137"/>
    <x v="0"/>
    <x v="1"/>
    <s v="Not eligible"/>
    <s v="campaign paused"/>
    <n v="5"/>
    <s v="CAD"/>
    <n v="30.22"/>
    <n v="34"/>
    <n v="151.1"/>
    <n v="766"/>
    <n v="4.4400000000000002E-2"/>
    <n v="4.4400000000000004"/>
    <s v=" --"/>
    <n v="0.14710000000000001"/>
  </r>
  <r>
    <x v="0"/>
    <s v="Enabled"/>
    <x v="138"/>
    <x v="0"/>
    <x v="1"/>
    <s v="Not eligible"/>
    <s v="campaign paused"/>
    <n v="0"/>
    <s v="CAD"/>
    <n v="0"/>
    <n v="0"/>
    <n v="0"/>
    <n v="0"/>
    <s v=" --"/>
    <n v="0"/>
    <s v=" --"/>
    <n v="0"/>
  </r>
  <r>
    <x v="0"/>
    <s v="Enabled"/>
    <x v="139"/>
    <x v="0"/>
    <x v="1"/>
    <s v="Not eligible"/>
    <s v="campaign paused"/>
    <n v="0"/>
    <s v="CAD"/>
    <n v="0"/>
    <n v="0"/>
    <n v="0"/>
    <n v="0"/>
    <s v=" --"/>
    <n v="0"/>
    <s v=" --"/>
    <n v="0"/>
  </r>
  <r>
    <x v="0"/>
    <s v="Enabled"/>
    <x v="140"/>
    <x v="0"/>
    <x v="1"/>
    <s v="Not eligible"/>
    <s v="campaign paused"/>
    <n v="0"/>
    <s v="CAD"/>
    <n v="0"/>
    <n v="14"/>
    <n v="46.41"/>
    <n v="301"/>
    <n v="4.65E-2"/>
    <n v="3.32"/>
    <n v="3"/>
    <n v="0"/>
  </r>
  <r>
    <x v="0"/>
    <s v="Enabled"/>
    <x v="141"/>
    <x v="1"/>
    <x v="1"/>
    <s v="Not eligible"/>
    <s v="campaign paused"/>
    <n v="0"/>
    <s v="CAD"/>
    <n v="0"/>
    <n v="2"/>
    <n v="8.32"/>
    <n v="23"/>
    <n v="8.6999999999999994E-2"/>
    <n v="4.16"/>
    <s v=" --"/>
    <n v="0"/>
  </r>
  <r>
    <x v="0"/>
    <s v="Enabled"/>
    <x v="142"/>
    <x v="0"/>
    <x v="1"/>
    <s v="Not eligible"/>
    <s v="campaign paused"/>
    <n v="0"/>
    <s v="CAD"/>
    <n v="0"/>
    <n v="0"/>
    <n v="0"/>
    <n v="0"/>
    <s v=" --"/>
    <n v="0"/>
    <s v=" --"/>
    <n v="0"/>
  </r>
  <r>
    <x v="0"/>
    <s v="Enabled"/>
    <x v="143"/>
    <x v="0"/>
    <x v="1"/>
    <s v="Not eligible"/>
    <s v="campaign paused"/>
    <n v="0"/>
    <s v="CAD"/>
    <n v="0"/>
    <n v="0"/>
    <n v="0"/>
    <n v="11"/>
    <n v="0"/>
    <n v="0"/>
    <s v=" --"/>
    <n v="0"/>
  </r>
  <r>
    <x v="0"/>
    <s v="Enabled"/>
    <x v="144"/>
    <x v="0"/>
    <x v="1"/>
    <s v="Not eligible"/>
    <s v="campaign paused"/>
    <n v="0"/>
    <s v="CAD"/>
    <n v="0"/>
    <n v="0"/>
    <n v="0"/>
    <n v="0"/>
    <s v=" --"/>
    <n v="0"/>
    <s v=" --"/>
    <n v="0"/>
  </r>
  <r>
    <x v="0"/>
    <s v="Enabled"/>
    <x v="145"/>
    <x v="1"/>
    <x v="2"/>
    <s v="Not eligible"/>
    <s v="campaign paused"/>
    <n v="0"/>
    <s v="CAD"/>
    <n v="0"/>
    <n v="0"/>
    <n v="0"/>
    <n v="1"/>
    <n v="0"/>
    <n v="0"/>
    <s v=" --"/>
    <n v="0"/>
  </r>
  <r>
    <x v="0"/>
    <s v="Enabled"/>
    <x v="146"/>
    <x v="2"/>
    <x v="2"/>
    <s v="Not eligible"/>
    <s v="campaign paused"/>
    <n v="0"/>
    <s v="CAD"/>
    <n v="0"/>
    <n v="0"/>
    <n v="0"/>
    <n v="1"/>
    <n v="0"/>
    <n v="0"/>
    <s v=" --"/>
    <n v="0"/>
  </r>
  <r>
    <x v="0"/>
    <s v="Enabled"/>
    <x v="147"/>
    <x v="0"/>
    <x v="2"/>
    <s v="Not eligible"/>
    <s v="campaign paused"/>
    <n v="0"/>
    <s v="CAD"/>
    <n v="0"/>
    <n v="0"/>
    <n v="0"/>
    <n v="0"/>
    <s v=" --"/>
    <n v="0"/>
    <s v=" --"/>
    <n v="0"/>
  </r>
  <r>
    <x v="0"/>
    <s v="Enabled"/>
    <x v="148"/>
    <x v="1"/>
    <x v="2"/>
    <s v="Not eligible"/>
    <s v="campaign paused"/>
    <n v="0"/>
    <s v="CAD"/>
    <n v="0"/>
    <n v="0"/>
    <n v="0"/>
    <n v="1"/>
    <n v="0"/>
    <n v="0"/>
    <s v=" --"/>
    <n v="0"/>
  </r>
  <r>
    <x v="0"/>
    <s v="Enabled"/>
    <x v="149"/>
    <x v="0"/>
    <x v="2"/>
    <s v="Not eligible"/>
    <s v="campaign paused"/>
    <n v="1"/>
    <s v="CAD"/>
    <n v="22.79"/>
    <n v="7"/>
    <n v="22.79"/>
    <n v="166"/>
    <n v="4.2200000000000001E-2"/>
    <n v="3.26"/>
    <s v=" --"/>
    <n v="0.1429"/>
  </r>
  <r>
    <x v="0"/>
    <s v="Enabled"/>
    <x v="150"/>
    <x v="0"/>
    <x v="2"/>
    <s v="Not eligible"/>
    <s v="campaign paused"/>
    <n v="0"/>
    <s v="CAD"/>
    <n v="0"/>
    <n v="0"/>
    <n v="0"/>
    <n v="0"/>
    <s v=" --"/>
    <n v="0"/>
    <s v=" --"/>
    <n v="0"/>
  </r>
  <r>
    <x v="0"/>
    <s v="Enabled"/>
    <x v="151"/>
    <x v="1"/>
    <x v="2"/>
    <s v="Not eligible"/>
    <s v="campaign paused"/>
    <n v="0"/>
    <s v="CAD"/>
    <n v="0"/>
    <n v="0"/>
    <n v="0"/>
    <n v="0"/>
    <s v=" --"/>
    <n v="0"/>
    <s v=" --"/>
    <n v="0"/>
  </r>
  <r>
    <x v="0"/>
    <s v="Enabled"/>
    <x v="152"/>
    <x v="2"/>
    <x v="2"/>
    <s v="Not eligible"/>
    <s v="campaign paused"/>
    <n v="0"/>
    <s v="CAD"/>
    <n v="0"/>
    <n v="0"/>
    <n v="0"/>
    <n v="0"/>
    <s v=" --"/>
    <n v="0"/>
    <s v=" --"/>
    <n v="0"/>
  </r>
  <r>
    <x v="0"/>
    <s v="Enabled"/>
    <x v="153"/>
    <x v="2"/>
    <x v="2"/>
    <s v="Not eligible"/>
    <s v="campaign paused"/>
    <n v="0"/>
    <s v="CAD"/>
    <n v="0"/>
    <n v="0"/>
    <n v="0"/>
    <n v="0"/>
    <s v=" --"/>
    <n v="0"/>
    <s v=" --"/>
    <n v="0"/>
  </r>
  <r>
    <x v="0"/>
    <s v="Enabled"/>
    <x v="154"/>
    <x v="0"/>
    <x v="1"/>
    <s v="Not eligible"/>
    <s v="campaign paused"/>
    <n v="0"/>
    <s v="CAD"/>
    <n v="0"/>
    <n v="2"/>
    <n v="7.21"/>
    <n v="62"/>
    <n v="3.2300000000000002E-2"/>
    <n v="3.61"/>
    <s v=" --"/>
    <n v="0"/>
  </r>
  <r>
    <x v="0"/>
    <s v="Enabled"/>
    <x v="155"/>
    <x v="0"/>
    <x v="1"/>
    <s v="Not eligible"/>
    <s v="campaign paused"/>
    <n v="0"/>
    <s v="CAD"/>
    <n v="0"/>
    <n v="0"/>
    <n v="0"/>
    <n v="0"/>
    <s v=" --"/>
    <n v="0"/>
    <s v=" --"/>
    <n v="0"/>
  </r>
  <r>
    <x v="0"/>
    <s v="Enabled"/>
    <x v="156"/>
    <x v="0"/>
    <x v="1"/>
    <s v="Not eligible"/>
    <s v="campaign paused"/>
    <n v="0"/>
    <s v="CAD"/>
    <n v="0"/>
    <n v="1"/>
    <n v="4.58"/>
    <n v="6"/>
    <n v="0.16669999999999999"/>
    <n v="4.58"/>
    <s v=" --"/>
    <n v="0"/>
  </r>
  <r>
    <x v="0"/>
    <s v="Paused"/>
    <x v="157"/>
    <x v="0"/>
    <x v="1"/>
    <s v="Paused"/>
    <s v="paused; campaign paused"/>
    <n v="0"/>
    <s v="CAD"/>
    <n v="0"/>
    <n v="3"/>
    <n v="16.09"/>
    <n v="69"/>
    <n v="4.3499999999999997E-2"/>
    <n v="5.36"/>
    <s v=" --"/>
    <n v="0"/>
  </r>
  <r>
    <x v="0"/>
    <s v="Enabled"/>
    <x v="158"/>
    <x v="0"/>
    <x v="1"/>
    <s v="Not eligible"/>
    <s v="campaign paused"/>
    <n v="0"/>
    <s v="CAD"/>
    <n v="0"/>
    <n v="0"/>
    <n v="0"/>
    <n v="0"/>
    <s v=" --"/>
    <n v="0"/>
    <s v=" --"/>
    <n v="0"/>
  </r>
  <r>
    <x v="0"/>
    <s v="Paused"/>
    <x v="159"/>
    <x v="0"/>
    <x v="1"/>
    <s v="Paused"/>
    <s v="paused; campaign paused"/>
    <n v="0"/>
    <s v="CAD"/>
    <n v="0"/>
    <n v="0"/>
    <n v="0"/>
    <n v="72"/>
    <n v="0"/>
    <n v="0"/>
    <n v="8"/>
    <n v="0"/>
  </r>
  <r>
    <x v="0"/>
    <s v="Enabled"/>
    <x v="160"/>
    <x v="0"/>
    <x v="1"/>
    <s v="Not eligible"/>
    <s v="campaign paused"/>
    <n v="0"/>
    <s v="CAD"/>
    <n v="0"/>
    <n v="3"/>
    <n v="10.8"/>
    <n v="110"/>
    <n v="2.7300000000000001E-2"/>
    <n v="3.6"/>
    <s v=" --"/>
    <n v="0"/>
  </r>
  <r>
    <x v="0"/>
    <s v="Enabled"/>
    <x v="161"/>
    <x v="0"/>
    <x v="1"/>
    <s v="Not eligible"/>
    <s v="campaign paused"/>
    <n v="0"/>
    <s v="CAD"/>
    <n v="0"/>
    <n v="0"/>
    <n v="0"/>
    <n v="0"/>
    <s v=" --"/>
    <n v="0"/>
    <s v=" --"/>
    <n v="0"/>
  </r>
  <r>
    <x v="0"/>
    <s v="Enabled"/>
    <x v="162"/>
    <x v="0"/>
    <x v="1"/>
    <s v="Not eligible"/>
    <s v="campaign paused"/>
    <n v="0"/>
    <s v="CAD"/>
    <n v="0"/>
    <n v="0"/>
    <n v="0"/>
    <n v="0"/>
    <s v=" --"/>
    <n v="0"/>
    <s v=" --"/>
    <n v="0"/>
  </r>
  <r>
    <x v="0"/>
    <s v="Enabled"/>
    <x v="163"/>
    <x v="1"/>
    <x v="1"/>
    <s v="Not eligible"/>
    <s v="campaign paused"/>
    <n v="0"/>
    <s v="CAD"/>
    <n v="0"/>
    <n v="0"/>
    <n v="0"/>
    <n v="0"/>
    <s v=" --"/>
    <n v="0"/>
    <s v=" --"/>
    <n v="0"/>
  </r>
  <r>
    <x v="0"/>
    <s v="Enabled"/>
    <x v="164"/>
    <x v="0"/>
    <x v="1"/>
    <s v="Not eligible"/>
    <s v="campaign paused"/>
    <n v="0"/>
    <s v="CAD"/>
    <n v="0"/>
    <n v="0"/>
    <n v="0"/>
    <n v="0"/>
    <s v=" --"/>
    <n v="0"/>
    <s v=" --"/>
    <n v="0"/>
  </r>
  <r>
    <x v="0"/>
    <s v="Enabled"/>
    <x v="165"/>
    <x v="0"/>
    <x v="1"/>
    <s v="Not eligible"/>
    <s v="campaign paused"/>
    <n v="0"/>
    <s v="CAD"/>
    <n v="0"/>
    <n v="0"/>
    <n v="0"/>
    <n v="0"/>
    <s v=" --"/>
    <n v="0"/>
    <s v=" --"/>
    <n v="0"/>
  </r>
  <r>
    <x v="0"/>
    <s v="Enabled"/>
    <x v="166"/>
    <x v="1"/>
    <x v="1"/>
    <s v="Not eligible"/>
    <s v="campaign paused"/>
    <n v="0"/>
    <s v="CAD"/>
    <n v="0"/>
    <n v="0"/>
    <n v="0"/>
    <n v="1"/>
    <n v="0"/>
    <n v="0"/>
    <s v=" --"/>
    <n v="0"/>
  </r>
  <r>
    <x v="0"/>
    <s v="Enabled"/>
    <x v="167"/>
    <x v="0"/>
    <x v="1"/>
    <s v="Not eligible"/>
    <s v="campaign paused"/>
    <n v="0"/>
    <s v="CAD"/>
    <n v="0"/>
    <n v="0"/>
    <n v="0"/>
    <n v="0"/>
    <s v=" --"/>
    <n v="0"/>
    <s v=" --"/>
    <n v="0"/>
  </r>
  <r>
    <x v="0"/>
    <s v="Enabled"/>
    <x v="168"/>
    <x v="0"/>
    <x v="1"/>
    <s v="Not eligible"/>
    <s v="campaign paused"/>
    <n v="0"/>
    <s v="CAD"/>
    <n v="0"/>
    <n v="2"/>
    <n v="8.17"/>
    <n v="47"/>
    <n v="4.2599999999999999E-2"/>
    <n v="4.09"/>
    <s v=" --"/>
    <n v="0"/>
  </r>
  <r>
    <x v="0"/>
    <s v="Enabled"/>
    <x v="169"/>
    <x v="0"/>
    <x v="1"/>
    <s v="Not eligible"/>
    <s v="campaign paused"/>
    <n v="0"/>
    <s v="CAD"/>
    <n v="0"/>
    <n v="0"/>
    <n v="0"/>
    <n v="0"/>
    <s v=" --"/>
    <n v="0"/>
    <s v=" --"/>
    <n v="0"/>
  </r>
  <r>
    <x v="0"/>
    <s v="Enabled"/>
    <x v="170"/>
    <x v="0"/>
    <x v="1"/>
    <s v="Not eligible"/>
    <s v="campaign paused"/>
    <n v="0"/>
    <s v="CAD"/>
    <n v="0"/>
    <n v="0"/>
    <n v="0"/>
    <n v="0"/>
    <s v=" --"/>
    <n v="0"/>
    <s v=" --"/>
    <n v="0"/>
  </r>
  <r>
    <x v="0"/>
    <s v="Enabled"/>
    <x v="171"/>
    <x v="2"/>
    <x v="1"/>
    <s v="Not eligible"/>
    <s v="campaign paused"/>
    <n v="0"/>
    <s v="CAD"/>
    <n v="0"/>
    <n v="1"/>
    <n v="5.31"/>
    <n v="23"/>
    <n v="4.3499999999999997E-2"/>
    <n v="5.31"/>
    <s v=" --"/>
    <n v="0"/>
  </r>
  <r>
    <x v="0"/>
    <s v="Enabled"/>
    <x v="172"/>
    <x v="0"/>
    <x v="1"/>
    <s v="Not eligible"/>
    <s v="campaign paused"/>
    <n v="0"/>
    <s v="CAD"/>
    <n v="0"/>
    <n v="0"/>
    <n v="0"/>
    <n v="0"/>
    <s v=" --"/>
    <n v="0"/>
    <s v=" --"/>
    <n v="0"/>
  </r>
  <r>
    <x v="0"/>
    <s v="Enabled"/>
    <x v="173"/>
    <x v="0"/>
    <x v="1"/>
    <s v="Not eligible"/>
    <s v="campaign paused"/>
    <n v="0"/>
    <s v="CAD"/>
    <n v="0"/>
    <n v="0"/>
    <n v="0"/>
    <n v="3"/>
    <n v="0"/>
    <n v="0"/>
    <s v=" --"/>
    <n v="0"/>
  </r>
  <r>
    <x v="0"/>
    <s v="Enabled"/>
    <x v="174"/>
    <x v="0"/>
    <x v="1"/>
    <s v="Not eligible"/>
    <s v="campaign paused"/>
    <n v="0"/>
    <s v="CAD"/>
    <n v="0"/>
    <n v="0"/>
    <n v="0"/>
    <n v="12"/>
    <n v="0"/>
    <n v="0"/>
    <s v=" --"/>
    <n v="0"/>
  </r>
  <r>
    <x v="0"/>
    <s v="Enabled"/>
    <x v="175"/>
    <x v="2"/>
    <x v="1"/>
    <s v="Not eligible"/>
    <s v="campaign paused"/>
    <n v="0"/>
    <s v="CAD"/>
    <n v="0"/>
    <n v="0"/>
    <n v="0"/>
    <n v="0"/>
    <s v=" --"/>
    <n v="0"/>
    <s v=" --"/>
    <n v="0"/>
  </r>
  <r>
    <x v="0"/>
    <s v="Enabled"/>
    <x v="176"/>
    <x v="0"/>
    <x v="1"/>
    <s v="Not eligible"/>
    <s v="campaign paused"/>
    <n v="0"/>
    <s v="CAD"/>
    <n v="0"/>
    <n v="0"/>
    <n v="0"/>
    <n v="0"/>
    <s v=" --"/>
    <n v="0"/>
    <s v=" --"/>
    <n v="0"/>
  </r>
  <r>
    <x v="0"/>
    <s v="Enabled"/>
    <x v="177"/>
    <x v="0"/>
    <x v="1"/>
    <s v="Not eligible"/>
    <s v="campaign paused"/>
    <n v="0"/>
    <s v="CAD"/>
    <n v="0"/>
    <n v="0"/>
    <n v="0"/>
    <n v="0"/>
    <s v=" --"/>
    <n v="0"/>
    <s v=" --"/>
    <n v="0"/>
  </r>
  <r>
    <x v="0"/>
    <s v="Enabled"/>
    <x v="178"/>
    <x v="0"/>
    <x v="1"/>
    <s v="Not eligible"/>
    <s v="campaign paused"/>
    <n v="0"/>
    <s v="CAD"/>
    <n v="0"/>
    <n v="0"/>
    <n v="0"/>
    <n v="20"/>
    <n v="0"/>
    <n v="0"/>
    <s v=" --"/>
    <n v="0"/>
  </r>
  <r>
    <x v="0"/>
    <s v="Enabled"/>
    <x v="179"/>
    <x v="0"/>
    <x v="1"/>
    <s v="Not eligible"/>
    <s v="campaign paused"/>
    <n v="0"/>
    <s v="CAD"/>
    <n v="0"/>
    <n v="1"/>
    <n v="1.92"/>
    <n v="8"/>
    <n v="0.125"/>
    <n v="1.92"/>
    <s v=" --"/>
    <n v="0"/>
  </r>
  <r>
    <x v="0"/>
    <s v="Enabled"/>
    <x v="180"/>
    <x v="0"/>
    <x v="1"/>
    <s v="Not eligible"/>
    <s v="campaign paused"/>
    <n v="0"/>
    <s v="CAD"/>
    <n v="0"/>
    <n v="2"/>
    <n v="6.89"/>
    <n v="89"/>
    <n v="2.2499999999999999E-2"/>
    <n v="3.45"/>
    <s v=" --"/>
    <n v="0"/>
  </r>
  <r>
    <x v="0"/>
    <s v="Enabled"/>
    <x v="181"/>
    <x v="0"/>
    <x v="1"/>
    <s v="Not eligible"/>
    <s v="campaign paused"/>
    <n v="0"/>
    <s v="CAD"/>
    <n v="0"/>
    <n v="0"/>
    <n v="0"/>
    <n v="0"/>
    <s v=" --"/>
    <n v="0"/>
    <s v=" --"/>
    <n v="0"/>
  </r>
  <r>
    <x v="0"/>
    <s v="Enabled"/>
    <x v="182"/>
    <x v="1"/>
    <x v="1"/>
    <s v="Not eligible"/>
    <s v="campaign paused"/>
    <n v="0"/>
    <s v="CAD"/>
    <n v="0"/>
    <n v="0"/>
    <n v="0"/>
    <n v="0"/>
    <s v=" --"/>
    <n v="0"/>
    <s v=" --"/>
    <n v="0"/>
  </r>
  <r>
    <x v="0"/>
    <s v="Enabled"/>
    <x v="183"/>
    <x v="0"/>
    <x v="1"/>
    <s v="Not eligible"/>
    <s v="campaign paused"/>
    <n v="0"/>
    <s v="CAD"/>
    <n v="0"/>
    <n v="0"/>
    <n v="0"/>
    <n v="0"/>
    <s v=" --"/>
    <n v="0"/>
    <s v=" --"/>
    <n v="0"/>
  </r>
  <r>
    <x v="0"/>
    <s v="Enabled"/>
    <x v="184"/>
    <x v="0"/>
    <x v="1"/>
    <s v="Not eligible"/>
    <s v="campaign paused"/>
    <n v="0"/>
    <s v="CAD"/>
    <n v="0"/>
    <n v="0"/>
    <n v="0"/>
    <n v="0"/>
    <s v=" --"/>
    <n v="0"/>
    <s v=" --"/>
    <n v="0"/>
  </r>
  <r>
    <x v="0"/>
    <s v="Enabled"/>
    <x v="185"/>
    <x v="0"/>
    <x v="1"/>
    <s v="Not eligible"/>
    <s v="campaign paused"/>
    <n v="0"/>
    <s v="CAD"/>
    <n v="0"/>
    <n v="6"/>
    <n v="19.68"/>
    <n v="50"/>
    <n v="0.12"/>
    <n v="3.28"/>
    <n v="5"/>
    <n v="0"/>
  </r>
  <r>
    <x v="0"/>
    <s v="Enabled"/>
    <x v="186"/>
    <x v="0"/>
    <x v="1"/>
    <s v="Not eligible"/>
    <s v="campaign paused"/>
    <n v="0"/>
    <s v="CAD"/>
    <n v="0"/>
    <n v="0"/>
    <n v="0"/>
    <n v="1"/>
    <n v="0"/>
    <n v="0"/>
    <s v=" --"/>
    <n v="0"/>
  </r>
  <r>
    <x v="0"/>
    <s v="Enabled"/>
    <x v="187"/>
    <x v="0"/>
    <x v="1"/>
    <s v="Not eligible"/>
    <s v="campaign paused"/>
    <n v="0"/>
    <s v="CAD"/>
    <n v="0"/>
    <n v="0"/>
    <n v="0"/>
    <n v="0"/>
    <s v=" --"/>
    <n v="0"/>
    <s v=" --"/>
    <n v="0"/>
  </r>
  <r>
    <x v="0"/>
    <s v="Enabled"/>
    <x v="188"/>
    <x v="0"/>
    <x v="1"/>
    <s v="Not eligible"/>
    <s v="campaign paused"/>
    <n v="0"/>
    <s v="CAD"/>
    <n v="0"/>
    <n v="0"/>
    <n v="0"/>
    <n v="0"/>
    <s v=" --"/>
    <n v="0"/>
    <s v=" --"/>
    <n v="0"/>
  </r>
  <r>
    <x v="0"/>
    <s v="Enabled"/>
    <x v="189"/>
    <x v="2"/>
    <x v="1"/>
    <s v="Not eligible"/>
    <s v="campaign paused"/>
    <n v="0"/>
    <s v="CAD"/>
    <n v="0"/>
    <n v="0"/>
    <n v="0"/>
    <n v="0"/>
    <s v=" --"/>
    <n v="0"/>
    <s v=" --"/>
    <n v="0"/>
  </r>
  <r>
    <x v="0"/>
    <s v="Enabled"/>
    <x v="190"/>
    <x v="2"/>
    <x v="1"/>
    <s v="Not eligible"/>
    <s v="campaign paused"/>
    <n v="0"/>
    <s v="CAD"/>
    <n v="0"/>
    <n v="0"/>
    <n v="0"/>
    <n v="2"/>
    <n v="0"/>
    <n v="0"/>
    <s v=" --"/>
    <n v="0"/>
  </r>
  <r>
    <x v="0"/>
    <s v="Enabled"/>
    <x v="191"/>
    <x v="0"/>
    <x v="1"/>
    <s v="Not eligible"/>
    <s v="campaign paused"/>
    <n v="0"/>
    <s v="CAD"/>
    <n v="0"/>
    <n v="0"/>
    <n v="0"/>
    <n v="0"/>
    <s v=" --"/>
    <n v="0"/>
    <s v=" --"/>
    <n v="0"/>
  </r>
  <r>
    <x v="0"/>
    <s v="Enabled"/>
    <x v="192"/>
    <x v="0"/>
    <x v="1"/>
    <s v="Not eligible"/>
    <s v="campaign paused"/>
    <n v="0"/>
    <s v="CAD"/>
    <n v="0"/>
    <n v="0"/>
    <n v="0"/>
    <n v="0"/>
    <s v=" --"/>
    <n v="0"/>
    <s v=" --"/>
    <n v="0"/>
  </r>
  <r>
    <x v="0"/>
    <s v="Enabled"/>
    <x v="193"/>
    <x v="0"/>
    <x v="1"/>
    <s v="Not eligible"/>
    <s v="campaign paused"/>
    <n v="1"/>
    <s v="CAD"/>
    <n v="30.82"/>
    <n v="8"/>
    <n v="30.82"/>
    <n v="158"/>
    <n v="5.0599999999999999E-2"/>
    <n v="3.85"/>
    <s v=" --"/>
    <n v="0.125"/>
  </r>
  <r>
    <x v="0"/>
    <s v="Enabled"/>
    <x v="194"/>
    <x v="0"/>
    <x v="1"/>
    <s v="Not eligible"/>
    <s v="campaign paused"/>
    <n v="0"/>
    <s v="CAD"/>
    <n v="0"/>
    <n v="0"/>
    <n v="0"/>
    <n v="0"/>
    <s v=" --"/>
    <n v="0"/>
    <s v=" --"/>
    <n v="0"/>
  </r>
  <r>
    <x v="0"/>
    <s v="Enabled"/>
    <x v="195"/>
    <x v="0"/>
    <x v="1"/>
    <s v="Not eligible"/>
    <s v="campaign paused"/>
    <n v="0"/>
    <s v="CAD"/>
    <n v="0"/>
    <n v="0"/>
    <n v="0"/>
    <n v="0"/>
    <s v=" --"/>
    <n v="0"/>
    <s v=" --"/>
    <n v="0"/>
  </r>
  <r>
    <x v="0"/>
    <s v="Enabled"/>
    <x v="196"/>
    <x v="0"/>
    <x v="1"/>
    <s v="Not eligible"/>
    <s v="campaign paused"/>
    <n v="0"/>
    <s v="CAD"/>
    <n v="0"/>
    <n v="0"/>
    <n v="0"/>
    <n v="0"/>
    <s v=" --"/>
    <n v="0"/>
    <s v=" --"/>
    <n v="0"/>
  </r>
  <r>
    <x v="0"/>
    <s v="Enabled"/>
    <x v="197"/>
    <x v="0"/>
    <x v="1"/>
    <s v="Not eligible"/>
    <s v="campaign paused"/>
    <n v="0"/>
    <s v="CAD"/>
    <n v="0"/>
    <n v="0"/>
    <n v="0"/>
    <n v="0"/>
    <s v=" --"/>
    <n v="0"/>
    <s v=" --"/>
    <n v="0"/>
  </r>
  <r>
    <x v="0"/>
    <s v="Enabled"/>
    <x v="198"/>
    <x v="0"/>
    <x v="1"/>
    <s v="Not eligible"/>
    <s v="campaign paused"/>
    <n v="0"/>
    <s v="CAD"/>
    <n v="0"/>
    <n v="0"/>
    <n v="0"/>
    <n v="0"/>
    <s v=" --"/>
    <n v="0"/>
    <s v=" --"/>
    <n v="0"/>
  </r>
  <r>
    <x v="0"/>
    <s v="Enabled"/>
    <x v="199"/>
    <x v="0"/>
    <x v="1"/>
    <s v="Not eligible"/>
    <s v="campaign paused"/>
    <n v="2"/>
    <s v="CAD"/>
    <n v="60.43"/>
    <n v="31"/>
    <n v="120.85"/>
    <n v="821"/>
    <n v="3.78E-2"/>
    <n v="3.9"/>
    <s v=" --"/>
    <n v="6.4500000000000002E-2"/>
  </r>
  <r>
    <x v="0"/>
    <s v="Enabled"/>
    <x v="200"/>
    <x v="0"/>
    <x v="1"/>
    <s v="Not eligible"/>
    <s v="campaign paused"/>
    <n v="0"/>
    <s v="CAD"/>
    <n v="0"/>
    <n v="0"/>
    <n v="0"/>
    <n v="0"/>
    <s v=" --"/>
    <n v="0"/>
    <s v=" --"/>
    <n v="0"/>
  </r>
  <r>
    <x v="0"/>
    <s v="Enabled"/>
    <x v="201"/>
    <x v="0"/>
    <x v="1"/>
    <s v="Not eligible"/>
    <s v="campaign paused"/>
    <n v="0"/>
    <s v="CAD"/>
    <n v="0"/>
    <n v="0"/>
    <n v="0"/>
    <n v="0"/>
    <s v=" --"/>
    <n v="0"/>
    <s v=" --"/>
    <n v="0"/>
  </r>
  <r>
    <x v="0"/>
    <s v="Enabled"/>
    <x v="202"/>
    <x v="0"/>
    <x v="1"/>
    <s v="Not eligible"/>
    <s v="campaign paused"/>
    <n v="0"/>
    <s v="CAD"/>
    <n v="0"/>
    <n v="0"/>
    <n v="0"/>
    <n v="0"/>
    <s v=" --"/>
    <n v="0"/>
    <s v=" --"/>
    <n v="0"/>
  </r>
  <r>
    <x v="0"/>
    <s v="Enabled"/>
    <x v="203"/>
    <x v="0"/>
    <x v="1"/>
    <s v="Not eligible"/>
    <s v="campaign paused"/>
    <n v="0"/>
    <s v="CAD"/>
    <n v="0"/>
    <n v="0"/>
    <n v="0"/>
    <n v="0"/>
    <s v=" --"/>
    <n v="0"/>
    <s v=" --"/>
    <n v="0"/>
  </r>
  <r>
    <x v="0"/>
    <s v="Enabled"/>
    <x v="204"/>
    <x v="2"/>
    <x v="1"/>
    <s v="Not eligible"/>
    <s v="campaign paused"/>
    <n v="0"/>
    <s v="CAD"/>
    <n v="0"/>
    <n v="0"/>
    <n v="0"/>
    <n v="1"/>
    <n v="0"/>
    <n v="0"/>
    <n v="3"/>
    <n v="0"/>
  </r>
  <r>
    <x v="0"/>
    <s v="Enabled"/>
    <x v="205"/>
    <x v="0"/>
    <x v="1"/>
    <s v="Not eligible"/>
    <s v="campaign paused"/>
    <n v="0"/>
    <s v="CAD"/>
    <n v="0"/>
    <n v="0"/>
    <n v="0"/>
    <n v="41"/>
    <n v="0"/>
    <n v="0"/>
    <s v=" --"/>
    <n v="0"/>
  </r>
  <r>
    <x v="0"/>
    <s v="Enabled"/>
    <x v="206"/>
    <x v="2"/>
    <x v="1"/>
    <s v="Not eligible"/>
    <s v="campaign paused"/>
    <n v="0"/>
    <s v="CAD"/>
    <n v="0"/>
    <n v="0"/>
    <n v="0"/>
    <n v="3"/>
    <n v="0"/>
    <n v="0"/>
    <s v=" --"/>
    <n v="0"/>
  </r>
  <r>
    <x v="0"/>
    <s v="Enabled"/>
    <x v="207"/>
    <x v="0"/>
    <x v="1"/>
    <s v="Not eligible"/>
    <s v="campaign paused"/>
    <n v="0"/>
    <s v="CAD"/>
    <n v="0"/>
    <n v="0"/>
    <n v="0"/>
    <n v="0"/>
    <s v=" --"/>
    <n v="0"/>
    <s v=" --"/>
    <n v="0"/>
  </r>
  <r>
    <x v="0"/>
    <s v="Enabled"/>
    <x v="208"/>
    <x v="0"/>
    <x v="1"/>
    <s v="Not eligible"/>
    <s v="campaign paused"/>
    <n v="0"/>
    <s v="CAD"/>
    <n v="0"/>
    <n v="0"/>
    <n v="0"/>
    <n v="0"/>
    <s v=" --"/>
    <n v="0"/>
    <s v=" --"/>
    <n v="0"/>
  </r>
  <r>
    <x v="0"/>
    <s v="Enabled"/>
    <x v="209"/>
    <x v="0"/>
    <x v="1"/>
    <s v="Not eligible"/>
    <s v="campaign paused"/>
    <n v="0"/>
    <s v="CAD"/>
    <n v="0"/>
    <n v="0"/>
    <n v="0"/>
    <n v="1"/>
    <n v="0"/>
    <n v="0"/>
    <s v=" --"/>
    <n v="0"/>
  </r>
  <r>
    <x v="0"/>
    <s v="Enabled"/>
    <x v="210"/>
    <x v="0"/>
    <x v="1"/>
    <s v="Not eligible"/>
    <s v="campaign paused"/>
    <n v="1"/>
    <s v="CAD"/>
    <n v="4.9400000000000004"/>
    <n v="2"/>
    <n v="4.9400000000000004"/>
    <n v="40"/>
    <n v="0.05"/>
    <n v="2.4700000000000002"/>
    <s v=" --"/>
    <n v="0.5"/>
  </r>
  <r>
    <x v="0"/>
    <s v="Enabled"/>
    <x v="211"/>
    <x v="0"/>
    <x v="1"/>
    <s v="Not eligible"/>
    <s v="campaign paused"/>
    <n v="0"/>
    <s v="CAD"/>
    <n v="0"/>
    <n v="0"/>
    <n v="0"/>
    <n v="0"/>
    <s v=" --"/>
    <n v="0"/>
    <s v=" --"/>
    <n v="0"/>
  </r>
  <r>
    <x v="0"/>
    <s v="Enabled"/>
    <x v="212"/>
    <x v="0"/>
    <x v="1"/>
    <s v="Not eligible"/>
    <s v="campaign paused"/>
    <n v="0"/>
    <s v="CAD"/>
    <n v="0"/>
    <n v="0"/>
    <n v="0"/>
    <n v="0"/>
    <s v=" --"/>
    <n v="0"/>
    <s v=" --"/>
    <n v="0"/>
  </r>
  <r>
    <x v="0"/>
    <s v="Enabled"/>
    <x v="213"/>
    <x v="1"/>
    <x v="1"/>
    <s v="Not eligible"/>
    <s v="campaign paused"/>
    <n v="0"/>
    <s v="CAD"/>
    <n v="0"/>
    <n v="0"/>
    <n v="0"/>
    <n v="5"/>
    <n v="0"/>
    <n v="0"/>
    <n v="3"/>
    <n v="0"/>
  </r>
  <r>
    <x v="0"/>
    <s v="Enabled"/>
    <x v="214"/>
    <x v="0"/>
    <x v="1"/>
    <s v="Not eligible"/>
    <s v="campaign paused"/>
    <n v="0"/>
    <s v="CAD"/>
    <n v="0"/>
    <n v="0"/>
    <n v="0"/>
    <n v="0"/>
    <s v=" --"/>
    <n v="0"/>
    <s v=" --"/>
    <n v="0"/>
  </r>
  <r>
    <x v="0"/>
    <s v="Enabled"/>
    <x v="215"/>
    <x v="0"/>
    <x v="1"/>
    <s v="Not eligible"/>
    <s v="campaign paused"/>
    <n v="0"/>
    <s v="CAD"/>
    <n v="0"/>
    <n v="0"/>
    <n v="0"/>
    <n v="0"/>
    <s v=" --"/>
    <n v="0"/>
    <s v=" --"/>
    <n v="0"/>
  </r>
  <r>
    <x v="0"/>
    <s v="Enabled"/>
    <x v="216"/>
    <x v="0"/>
    <x v="1"/>
    <s v="Not eligible"/>
    <s v="campaign paused"/>
    <n v="0"/>
    <s v="CAD"/>
    <n v="0"/>
    <n v="0"/>
    <n v="0"/>
    <n v="0"/>
    <s v=" --"/>
    <n v="0"/>
    <s v=" --"/>
    <n v="0"/>
  </r>
  <r>
    <x v="0"/>
    <s v="Enabled"/>
    <x v="217"/>
    <x v="0"/>
    <x v="1"/>
    <s v="Not eligible"/>
    <s v="campaign paused"/>
    <n v="0"/>
    <s v="CAD"/>
    <n v="0"/>
    <n v="1"/>
    <n v="7.45"/>
    <n v="35"/>
    <n v="2.86E-2"/>
    <n v="7.45"/>
    <s v=" --"/>
    <n v="0"/>
  </r>
  <r>
    <x v="0"/>
    <s v="Enabled"/>
    <x v="218"/>
    <x v="0"/>
    <x v="1"/>
    <s v="Not eligible"/>
    <s v="campaign paused"/>
    <n v="0"/>
    <s v="CAD"/>
    <n v="0"/>
    <n v="1"/>
    <n v="4.9800000000000004"/>
    <n v="4"/>
    <n v="0.25"/>
    <n v="4.9800000000000004"/>
    <s v=" --"/>
    <n v="0"/>
  </r>
  <r>
    <x v="0"/>
    <s v="Enabled"/>
    <x v="219"/>
    <x v="0"/>
    <x v="1"/>
    <s v="Not eligible"/>
    <s v="campaign paused"/>
    <n v="3"/>
    <s v="CAD"/>
    <n v="37.17"/>
    <n v="27"/>
    <n v="111.52"/>
    <n v="683"/>
    <n v="3.95E-2"/>
    <n v="4.13"/>
    <s v=" --"/>
    <n v="0.1111"/>
  </r>
  <r>
    <x v="0"/>
    <s v="Enabled"/>
    <x v="220"/>
    <x v="0"/>
    <x v="1"/>
    <s v="Not eligible"/>
    <s v="campaign paused"/>
    <n v="0"/>
    <s v="CAD"/>
    <n v="0"/>
    <n v="1"/>
    <n v="6.08"/>
    <n v="59"/>
    <n v="1.6899999999999998E-2"/>
    <n v="6.08"/>
    <s v=" --"/>
    <n v="0"/>
  </r>
  <r>
    <x v="0"/>
    <s v="Enabled"/>
    <x v="221"/>
    <x v="2"/>
    <x v="1"/>
    <s v="Not eligible"/>
    <s v="campaign paused"/>
    <n v="0"/>
    <s v="CAD"/>
    <n v="0"/>
    <n v="0"/>
    <n v="0"/>
    <n v="3"/>
    <n v="0"/>
    <n v="0"/>
    <s v=" --"/>
    <n v="0"/>
  </r>
  <r>
    <x v="0"/>
    <s v="Enabled"/>
    <x v="222"/>
    <x v="0"/>
    <x v="1"/>
    <s v="Not eligible"/>
    <s v="campaign paused"/>
    <n v="0"/>
    <s v="CAD"/>
    <n v="0"/>
    <n v="1"/>
    <n v="3.55"/>
    <n v="35"/>
    <n v="2.86E-2"/>
    <n v="3.55"/>
    <s v=" --"/>
    <n v="0"/>
  </r>
  <r>
    <x v="0"/>
    <s v="Enabled"/>
    <x v="223"/>
    <x v="0"/>
    <x v="1"/>
    <s v="Not eligible"/>
    <s v="campaign paused"/>
    <n v="0"/>
    <s v="CAD"/>
    <n v="0"/>
    <n v="0"/>
    <n v="0"/>
    <n v="0"/>
    <s v=" --"/>
    <n v="0"/>
    <s v=" --"/>
    <n v="0"/>
  </r>
  <r>
    <x v="0"/>
    <s v="Enabled"/>
    <x v="224"/>
    <x v="0"/>
    <x v="1"/>
    <s v="Not eligible"/>
    <s v="campaign paused"/>
    <n v="0"/>
    <s v="CAD"/>
    <n v="0"/>
    <n v="0"/>
    <n v="0"/>
    <n v="0"/>
    <s v=" --"/>
    <n v="0"/>
    <s v=" --"/>
    <n v="0"/>
  </r>
  <r>
    <x v="0"/>
    <s v="Enabled"/>
    <x v="225"/>
    <x v="0"/>
    <x v="1"/>
    <s v="Not eligible"/>
    <s v="campaign paused"/>
    <n v="0"/>
    <s v="CAD"/>
    <n v="0"/>
    <n v="0"/>
    <n v="0"/>
    <n v="0"/>
    <s v=" --"/>
    <n v="0"/>
    <s v=" --"/>
    <n v="0"/>
  </r>
  <r>
    <x v="0"/>
    <s v="Enabled"/>
    <x v="226"/>
    <x v="0"/>
    <x v="1"/>
    <s v="Not eligible"/>
    <s v="campaign paused"/>
    <n v="1"/>
    <s v="CAD"/>
    <n v="34.89"/>
    <n v="9"/>
    <n v="34.89"/>
    <n v="263"/>
    <n v="3.4200000000000001E-2"/>
    <n v="3.88"/>
    <s v=" --"/>
    <n v="0.1111"/>
  </r>
  <r>
    <x v="0"/>
    <s v="Enabled"/>
    <x v="227"/>
    <x v="0"/>
    <x v="1"/>
    <s v="Not eligible"/>
    <s v="campaign paused"/>
    <n v="0"/>
    <s v="CAD"/>
    <n v="0"/>
    <n v="0"/>
    <n v="0"/>
    <n v="0"/>
    <s v=" --"/>
    <n v="0"/>
    <s v=" --"/>
    <n v="0"/>
  </r>
  <r>
    <x v="0"/>
    <s v="Enabled"/>
    <x v="228"/>
    <x v="0"/>
    <x v="1"/>
    <s v="Not eligible"/>
    <s v="campaign paused"/>
    <n v="0"/>
    <s v="CAD"/>
    <n v="0"/>
    <n v="0"/>
    <n v="0"/>
    <n v="0"/>
    <s v=" --"/>
    <n v="0"/>
    <s v=" --"/>
    <n v="0"/>
  </r>
  <r>
    <x v="0"/>
    <s v="Enabled"/>
    <x v="229"/>
    <x v="0"/>
    <x v="1"/>
    <s v="Not eligible"/>
    <s v="campaign paused"/>
    <n v="0"/>
    <s v="CAD"/>
    <n v="0"/>
    <n v="0"/>
    <n v="0"/>
    <n v="0"/>
    <s v=" --"/>
    <n v="0"/>
    <s v=" --"/>
    <n v="0"/>
  </r>
  <r>
    <x v="0"/>
    <s v="Enabled"/>
    <x v="230"/>
    <x v="0"/>
    <x v="1"/>
    <s v="Not eligible"/>
    <s v="campaign paused"/>
    <n v="0"/>
    <s v="CAD"/>
    <n v="0"/>
    <n v="0"/>
    <n v="0"/>
    <n v="0"/>
    <s v=" --"/>
    <n v="0"/>
    <s v=" --"/>
    <n v="0"/>
  </r>
  <r>
    <x v="0"/>
    <s v="Enabled"/>
    <x v="231"/>
    <x v="0"/>
    <x v="1"/>
    <s v="Not eligible"/>
    <s v="campaign paused"/>
    <n v="0"/>
    <s v="CAD"/>
    <n v="0"/>
    <n v="0"/>
    <n v="0"/>
    <n v="0"/>
    <s v=" --"/>
    <n v="0"/>
    <s v=" --"/>
    <n v="0"/>
  </r>
  <r>
    <x v="0"/>
    <s v="Enabled"/>
    <x v="232"/>
    <x v="0"/>
    <x v="1"/>
    <s v="Not eligible"/>
    <s v="campaign paused"/>
    <n v="0"/>
    <s v="CAD"/>
    <n v="0"/>
    <n v="2"/>
    <n v="9.06"/>
    <n v="81"/>
    <n v="2.47E-2"/>
    <n v="4.53"/>
    <s v=" --"/>
    <n v="0"/>
  </r>
  <r>
    <x v="0"/>
    <s v="Enabled"/>
    <x v="233"/>
    <x v="0"/>
    <x v="1"/>
    <s v="Not eligible"/>
    <s v="campaign paused"/>
    <n v="0"/>
    <s v="CAD"/>
    <n v="0"/>
    <n v="0"/>
    <n v="0"/>
    <n v="0"/>
    <s v=" --"/>
    <n v="0"/>
    <s v=" --"/>
    <n v="0"/>
  </r>
  <r>
    <x v="0"/>
    <s v="Enabled"/>
    <x v="234"/>
    <x v="0"/>
    <x v="1"/>
    <s v="Not eligible"/>
    <s v="campaign paused"/>
    <n v="0"/>
    <s v="CAD"/>
    <n v="0"/>
    <n v="0"/>
    <n v="0"/>
    <n v="0"/>
    <s v=" --"/>
    <n v="0"/>
    <s v=" --"/>
    <n v="0"/>
  </r>
  <r>
    <x v="0"/>
    <s v="Enabled"/>
    <x v="235"/>
    <x v="0"/>
    <x v="1"/>
    <s v="Not eligible"/>
    <s v="campaign paused"/>
    <n v="0"/>
    <s v="CAD"/>
    <n v="0"/>
    <n v="0"/>
    <n v="0"/>
    <n v="0"/>
    <s v=" --"/>
    <n v="0"/>
    <s v=" --"/>
    <n v="0"/>
  </r>
  <r>
    <x v="0"/>
    <s v="Enabled"/>
    <x v="236"/>
    <x v="0"/>
    <x v="1"/>
    <s v="Not eligible"/>
    <s v="campaign paused"/>
    <n v="0"/>
    <s v="CAD"/>
    <n v="0"/>
    <n v="0"/>
    <n v="0"/>
    <n v="0"/>
    <s v=" --"/>
    <n v="0"/>
    <s v=" --"/>
    <n v="0"/>
  </r>
  <r>
    <x v="0"/>
    <s v="Enabled"/>
    <x v="237"/>
    <x v="0"/>
    <x v="1"/>
    <s v="Not eligible"/>
    <s v="campaign paused"/>
    <n v="0"/>
    <s v="CAD"/>
    <n v="0"/>
    <n v="0"/>
    <n v="0"/>
    <n v="3"/>
    <n v="0"/>
    <n v="0"/>
    <s v=" --"/>
    <n v="0"/>
  </r>
  <r>
    <x v="0"/>
    <s v="Enabled"/>
    <x v="238"/>
    <x v="1"/>
    <x v="1"/>
    <s v="Not eligible"/>
    <s v="campaign paused"/>
    <n v="0"/>
    <s v="CAD"/>
    <n v="0"/>
    <n v="0"/>
    <n v="0"/>
    <n v="0"/>
    <s v=" --"/>
    <n v="0"/>
    <s v=" --"/>
    <n v="0"/>
  </r>
  <r>
    <x v="0"/>
    <s v="Enabled"/>
    <x v="239"/>
    <x v="0"/>
    <x v="1"/>
    <s v="Not eligible"/>
    <s v="campaign paused"/>
    <n v="0"/>
    <s v="CAD"/>
    <n v="0"/>
    <n v="28"/>
    <n v="79.39"/>
    <n v="330"/>
    <n v="8.48E-2"/>
    <n v="2.84"/>
    <s v=" --"/>
    <n v="0"/>
  </r>
  <r>
    <x v="0"/>
    <s v="Enabled"/>
    <x v="240"/>
    <x v="0"/>
    <x v="1"/>
    <s v="Not eligible"/>
    <s v="campaign paused"/>
    <n v="0"/>
    <s v="CAD"/>
    <n v="0"/>
    <n v="0"/>
    <n v="0"/>
    <n v="0"/>
    <s v=" --"/>
    <n v="0"/>
    <s v=" --"/>
    <n v="0"/>
  </r>
  <r>
    <x v="0"/>
    <s v="Paused"/>
    <x v="241"/>
    <x v="0"/>
    <x v="1"/>
    <s v="Paused"/>
    <s v="paused; campaign paused"/>
    <n v="3"/>
    <s v="CAD"/>
    <n v="106.4"/>
    <n v="67"/>
    <n v="319.2"/>
    <n v="1723"/>
    <n v="3.8899999999999997E-2"/>
    <n v="4.76"/>
    <n v="3"/>
    <n v="4.48E-2"/>
  </r>
  <r>
    <x v="0"/>
    <s v="Enabled"/>
    <x v="242"/>
    <x v="0"/>
    <x v="1"/>
    <s v="Not eligible"/>
    <s v="campaign paused"/>
    <n v="0"/>
    <s v="CAD"/>
    <n v="0"/>
    <n v="0"/>
    <n v="0"/>
    <n v="0"/>
    <s v=" --"/>
    <n v="0"/>
    <s v=" --"/>
    <n v="0"/>
  </r>
  <r>
    <x v="0"/>
    <s v="Enabled"/>
    <x v="243"/>
    <x v="2"/>
    <x v="1"/>
    <s v="Not eligible"/>
    <s v="campaign paused"/>
    <n v="0"/>
    <s v="CAD"/>
    <n v="0"/>
    <n v="1"/>
    <n v="2.12"/>
    <n v="8"/>
    <n v="0.125"/>
    <n v="2.12"/>
    <n v="8"/>
    <n v="0"/>
  </r>
  <r>
    <x v="0"/>
    <s v="Enabled"/>
    <x v="244"/>
    <x v="0"/>
    <x v="1"/>
    <s v="Not eligible"/>
    <s v="campaign paused"/>
    <n v="2"/>
    <s v="CAD"/>
    <n v="6.27"/>
    <n v="1"/>
    <n v="12.53"/>
    <n v="16"/>
    <n v="6.25E-2"/>
    <n v="12.53"/>
    <s v=" --"/>
    <n v="2"/>
  </r>
  <r>
    <x v="0"/>
    <s v="Enabled"/>
    <x v="245"/>
    <x v="0"/>
    <x v="1"/>
    <s v="Not eligible"/>
    <s v="campaign paused"/>
    <n v="0"/>
    <s v="CAD"/>
    <n v="0"/>
    <n v="0"/>
    <n v="0"/>
    <n v="0"/>
    <s v=" --"/>
    <n v="0"/>
    <s v=" --"/>
    <n v="0"/>
  </r>
  <r>
    <x v="0"/>
    <s v="Enabled"/>
    <x v="246"/>
    <x v="0"/>
    <x v="1"/>
    <s v="Not eligible"/>
    <s v="campaign paused"/>
    <n v="0"/>
    <s v="CAD"/>
    <n v="0"/>
    <n v="0"/>
    <n v="0"/>
    <n v="0"/>
    <s v=" --"/>
    <n v="0"/>
    <s v=" --"/>
    <n v="0"/>
  </r>
  <r>
    <x v="0"/>
    <s v="Enabled"/>
    <x v="247"/>
    <x v="1"/>
    <x v="1"/>
    <s v="Not eligible"/>
    <s v="campaign paused"/>
    <n v="0"/>
    <s v="CAD"/>
    <n v="0"/>
    <n v="0"/>
    <n v="0"/>
    <n v="0"/>
    <s v=" --"/>
    <n v="0"/>
    <s v=" --"/>
    <n v="0"/>
  </r>
  <r>
    <x v="0"/>
    <s v="Enabled"/>
    <x v="248"/>
    <x v="0"/>
    <x v="1"/>
    <s v="Not eligible"/>
    <s v="campaign paused"/>
    <n v="0"/>
    <s v="CAD"/>
    <n v="0"/>
    <n v="1"/>
    <n v="3.68"/>
    <n v="39"/>
    <n v="2.5600000000000001E-2"/>
    <n v="3.68"/>
    <s v=" --"/>
    <n v="0"/>
  </r>
  <r>
    <x v="0"/>
    <s v="Enabled"/>
    <x v="249"/>
    <x v="0"/>
    <x v="1"/>
    <s v="Not eligible"/>
    <s v="campaign paused"/>
    <n v="0"/>
    <s v="CAD"/>
    <n v="0"/>
    <n v="1"/>
    <n v="2.4"/>
    <n v="33"/>
    <n v="3.0300000000000001E-2"/>
    <n v="2.4"/>
    <s v=" --"/>
    <n v="0"/>
  </r>
  <r>
    <x v="0"/>
    <s v="Enabled"/>
    <x v="250"/>
    <x v="0"/>
    <x v="1"/>
    <s v="Not eligible"/>
    <s v="campaign paused"/>
    <n v="0"/>
    <s v="CAD"/>
    <n v="0"/>
    <n v="1"/>
    <n v="2.8"/>
    <n v="40"/>
    <n v="2.5000000000000001E-2"/>
    <n v="2.8"/>
    <s v=" --"/>
    <n v="0"/>
  </r>
  <r>
    <x v="0"/>
    <s v="Enabled"/>
    <x v="251"/>
    <x v="0"/>
    <x v="1"/>
    <s v="Not eligible"/>
    <s v="campaign paused"/>
    <n v="0"/>
    <s v="CAD"/>
    <n v="0"/>
    <n v="0"/>
    <n v="0"/>
    <n v="0"/>
    <s v=" --"/>
    <n v="0"/>
    <s v=" --"/>
    <n v="0"/>
  </r>
  <r>
    <x v="0"/>
    <s v="Enabled"/>
    <x v="252"/>
    <x v="2"/>
    <x v="3"/>
    <s v="Not eligible"/>
    <s v="ad group paused; campaign paused"/>
    <n v="0"/>
    <s v="CAD"/>
    <n v="0"/>
    <n v="0"/>
    <n v="0"/>
    <n v="0"/>
    <s v=" --"/>
    <n v="0"/>
    <s v=" --"/>
    <n v="0"/>
  </r>
  <r>
    <x v="0"/>
    <s v="Enabled"/>
    <x v="116"/>
    <x v="0"/>
    <x v="3"/>
    <s v="Not eligible"/>
    <s v="ad group paused; campaign paused"/>
    <n v="0"/>
    <s v="CAD"/>
    <n v="0"/>
    <n v="8"/>
    <n v="40.119999999999997"/>
    <n v="113"/>
    <n v="7.0800000000000002E-2"/>
    <n v="5.0199999999999996"/>
    <s v=" --"/>
    <n v="0"/>
  </r>
  <r>
    <x v="0"/>
    <s v="Enabled"/>
    <x v="236"/>
    <x v="0"/>
    <x v="3"/>
    <s v="Not eligible"/>
    <s v="ad group paused; campaign paused"/>
    <n v="0"/>
    <s v="CAD"/>
    <n v="0"/>
    <n v="4"/>
    <n v="14.7"/>
    <n v="56"/>
    <n v="7.1400000000000005E-2"/>
    <n v="3.68"/>
    <s v=" --"/>
    <n v="0"/>
  </r>
  <r>
    <x v="0"/>
    <s v="Enabled"/>
    <x v="253"/>
    <x v="2"/>
    <x v="3"/>
    <s v="Not eligible"/>
    <s v="ad group paused; campaign paused"/>
    <n v="0"/>
    <s v="CAD"/>
    <n v="0"/>
    <n v="0"/>
    <n v="0"/>
    <n v="0"/>
    <s v=" --"/>
    <n v="0"/>
    <s v=" --"/>
    <n v="0"/>
  </r>
  <r>
    <x v="0"/>
    <s v="Enabled"/>
    <x v="254"/>
    <x v="1"/>
    <x v="3"/>
    <s v="Not eligible"/>
    <s v="ad group paused; campaign paused"/>
    <n v="0"/>
    <s v="CAD"/>
    <n v="0"/>
    <n v="0"/>
    <n v="0"/>
    <n v="0"/>
    <s v=" --"/>
    <n v="0"/>
    <s v=" --"/>
    <n v="0"/>
  </r>
  <r>
    <x v="0"/>
    <s v="Enabled"/>
    <x v="255"/>
    <x v="1"/>
    <x v="3"/>
    <s v="Not eligible"/>
    <s v="ad group paused; campaign paused"/>
    <n v="0"/>
    <s v="CAD"/>
    <n v="0"/>
    <n v="0"/>
    <n v="0"/>
    <n v="0"/>
    <s v=" --"/>
    <n v="0"/>
    <s v=" --"/>
    <n v="0"/>
  </r>
  <r>
    <x v="0"/>
    <s v="Enabled"/>
    <x v="256"/>
    <x v="1"/>
    <x v="3"/>
    <s v="Not eligible"/>
    <s v="ad group paused; campaign paused"/>
    <n v="0"/>
    <s v="CAD"/>
    <n v="0"/>
    <n v="0"/>
    <n v="0"/>
    <n v="0"/>
    <s v=" --"/>
    <n v="0"/>
    <s v=" --"/>
    <n v="0"/>
  </r>
  <r>
    <x v="0"/>
    <s v="Paused"/>
    <x v="257"/>
    <x v="0"/>
    <x v="3"/>
    <s v="Paused"/>
    <s v="paused; ad group paused; campaign paused"/>
    <n v="0"/>
    <s v="CAD"/>
    <n v="0"/>
    <n v="12"/>
    <n v="101.48"/>
    <n v="215"/>
    <n v="5.5800000000000002E-2"/>
    <n v="8.4600000000000009"/>
    <s v=" --"/>
    <n v="0"/>
  </r>
  <r>
    <x v="0"/>
    <s v="Enabled"/>
    <x v="258"/>
    <x v="2"/>
    <x v="3"/>
    <s v="Not eligible"/>
    <s v="ad group paused; campaign paused"/>
    <n v="0"/>
    <s v="CAD"/>
    <n v="0"/>
    <n v="0"/>
    <n v="0"/>
    <n v="0"/>
    <s v=" --"/>
    <n v="0"/>
    <s v=" --"/>
    <n v="0"/>
  </r>
  <r>
    <x v="0"/>
    <s v="Enabled"/>
    <x v="259"/>
    <x v="0"/>
    <x v="4"/>
    <s v="Not eligible"/>
    <s v="campaign paused"/>
    <n v="1"/>
    <s v="CAD"/>
    <n v="18.07"/>
    <n v="5"/>
    <n v="18.07"/>
    <n v="90"/>
    <n v="5.5599999999999997E-2"/>
    <n v="3.61"/>
    <s v=" --"/>
    <n v="0.2"/>
  </r>
  <r>
    <x v="0"/>
    <s v="Enabled"/>
    <x v="260"/>
    <x v="2"/>
    <x v="4"/>
    <s v="Not eligible"/>
    <s v="campaign paused"/>
    <n v="0"/>
    <s v="CAD"/>
    <n v="0"/>
    <n v="3"/>
    <n v="13.56"/>
    <n v="20"/>
    <n v="0.15"/>
    <n v="4.5199999999999996"/>
    <s v=" --"/>
    <n v="0"/>
  </r>
  <r>
    <x v="0"/>
    <s v="Enabled"/>
    <x v="261"/>
    <x v="1"/>
    <x v="4"/>
    <s v="Not eligible"/>
    <s v="campaign paused"/>
    <n v="0"/>
    <s v="CAD"/>
    <n v="0"/>
    <n v="0"/>
    <n v="0"/>
    <n v="0"/>
    <s v=" --"/>
    <n v="0"/>
    <s v=" --"/>
    <n v="0"/>
  </r>
  <r>
    <x v="0"/>
    <s v="Enabled"/>
    <x v="262"/>
    <x v="1"/>
    <x v="4"/>
    <s v="Not eligible"/>
    <s v="campaign paused"/>
    <n v="0"/>
    <s v="CAD"/>
    <n v="0"/>
    <n v="0"/>
    <n v="0"/>
    <n v="0"/>
    <s v=" --"/>
    <n v="0"/>
    <s v=" --"/>
    <n v="0"/>
  </r>
  <r>
    <x v="0"/>
    <s v="Enabled"/>
    <x v="263"/>
    <x v="0"/>
    <x v="4"/>
    <s v="Not eligible"/>
    <s v="campaign paused"/>
    <n v="0"/>
    <s v="CAD"/>
    <n v="0"/>
    <n v="0"/>
    <n v="0"/>
    <n v="0"/>
    <s v=" --"/>
    <n v="0"/>
    <s v=" --"/>
    <n v="0"/>
  </r>
  <r>
    <x v="0"/>
    <s v="Enabled"/>
    <x v="264"/>
    <x v="0"/>
    <x v="4"/>
    <s v="Not eligible"/>
    <s v="campaign paused"/>
    <n v="0"/>
    <s v="CAD"/>
    <n v="0"/>
    <n v="0"/>
    <n v="0"/>
    <n v="0"/>
    <s v=" --"/>
    <n v="0"/>
    <s v=" --"/>
    <n v="0"/>
  </r>
  <r>
    <x v="0"/>
    <s v="Enabled"/>
    <x v="265"/>
    <x v="1"/>
    <x v="4"/>
    <s v="Not eligible"/>
    <s v="campaign paused"/>
    <n v="0"/>
    <s v="CAD"/>
    <n v="0"/>
    <n v="0"/>
    <n v="0"/>
    <n v="0"/>
    <s v=" --"/>
    <n v="0"/>
    <s v=" --"/>
    <n v="0"/>
  </r>
  <r>
    <x v="0"/>
    <s v="Enabled"/>
    <x v="266"/>
    <x v="1"/>
    <x v="4"/>
    <s v="Not eligible"/>
    <s v="campaign paused"/>
    <n v="0"/>
    <s v="CAD"/>
    <n v="0"/>
    <n v="0"/>
    <n v="0"/>
    <n v="0"/>
    <s v=" --"/>
    <n v="0"/>
    <s v=" --"/>
    <n v="0"/>
  </r>
  <r>
    <x v="0"/>
    <s v="Enabled"/>
    <x v="267"/>
    <x v="1"/>
    <x v="4"/>
    <s v="Not eligible"/>
    <s v="campaign paused"/>
    <n v="0"/>
    <s v="CAD"/>
    <n v="0"/>
    <n v="0"/>
    <n v="0"/>
    <n v="0"/>
    <s v=" --"/>
    <n v="0"/>
    <s v=" --"/>
    <n v="0"/>
  </r>
  <r>
    <x v="0"/>
    <s v="Enabled"/>
    <x v="268"/>
    <x v="1"/>
    <x v="4"/>
    <s v="Not eligible"/>
    <s v="campaign paused"/>
    <n v="0"/>
    <s v="CAD"/>
    <n v="0"/>
    <n v="0"/>
    <n v="0"/>
    <n v="0"/>
    <s v=" --"/>
    <n v="0"/>
    <s v=" --"/>
    <n v="0"/>
  </r>
  <r>
    <x v="0"/>
    <s v="Enabled"/>
    <x v="269"/>
    <x v="2"/>
    <x v="4"/>
    <s v="Not eligible"/>
    <s v="campaign paused"/>
    <n v="0"/>
    <s v="CAD"/>
    <n v="0"/>
    <n v="0"/>
    <n v="0"/>
    <n v="0"/>
    <s v=" --"/>
    <n v="0"/>
    <s v=" --"/>
    <n v="0"/>
  </r>
  <r>
    <x v="0"/>
    <s v="Enabled"/>
    <x v="270"/>
    <x v="0"/>
    <x v="4"/>
    <s v="Not eligible"/>
    <s v="campaign paused"/>
    <n v="0"/>
    <s v="CAD"/>
    <n v="0"/>
    <n v="0"/>
    <n v="0"/>
    <n v="0"/>
    <s v=" --"/>
    <n v="0"/>
    <s v=" --"/>
    <n v="0"/>
  </r>
  <r>
    <x v="0"/>
    <s v="Enabled"/>
    <x v="271"/>
    <x v="2"/>
    <x v="4"/>
    <s v="Not eligible"/>
    <s v="campaign paused"/>
    <n v="0"/>
    <s v="CAD"/>
    <n v="0"/>
    <n v="1"/>
    <n v="12.8"/>
    <n v="9"/>
    <n v="0.1111"/>
    <n v="12.8"/>
    <s v=" --"/>
    <n v="0"/>
  </r>
  <r>
    <x v="0"/>
    <s v="Enabled"/>
    <x v="272"/>
    <x v="2"/>
    <x v="4"/>
    <s v="Not eligible"/>
    <s v="campaign paused"/>
    <n v="0"/>
    <s v="CAD"/>
    <n v="0"/>
    <n v="0"/>
    <n v="0"/>
    <n v="2"/>
    <n v="0"/>
    <n v="0"/>
    <s v=" --"/>
    <n v="0"/>
  </r>
  <r>
    <x v="0"/>
    <s v="Enabled"/>
    <x v="273"/>
    <x v="0"/>
    <x v="4"/>
    <s v="Not eligible"/>
    <s v="campaign paused"/>
    <n v="1"/>
    <s v="CAD"/>
    <n v="63.88"/>
    <n v="15"/>
    <n v="63.88"/>
    <n v="210"/>
    <n v="7.1400000000000005E-2"/>
    <n v="4.26"/>
    <n v="8"/>
    <n v="6.6699999999999995E-2"/>
  </r>
  <r>
    <x v="0"/>
    <s v="Enabled"/>
    <x v="274"/>
    <x v="1"/>
    <x v="4"/>
    <s v="Not eligible"/>
    <s v="campaign paused"/>
    <n v="0"/>
    <s v="CAD"/>
    <n v="0"/>
    <n v="0"/>
    <n v="0"/>
    <n v="2"/>
    <n v="0"/>
    <n v="0"/>
    <s v=" --"/>
    <n v="0"/>
  </r>
  <r>
    <x v="0"/>
    <s v="Enabled"/>
    <x v="275"/>
    <x v="0"/>
    <x v="4"/>
    <s v="Not eligible"/>
    <s v="campaign paused"/>
    <n v="0"/>
    <s v="CAD"/>
    <n v="0"/>
    <n v="0"/>
    <n v="0"/>
    <n v="1"/>
    <n v="0"/>
    <n v="0"/>
    <s v=" --"/>
    <n v="0"/>
  </r>
  <r>
    <x v="0"/>
    <s v="Enabled"/>
    <x v="276"/>
    <x v="0"/>
    <x v="4"/>
    <s v="Not eligible"/>
    <s v="campaign paused"/>
    <n v="0"/>
    <s v="CAD"/>
    <n v="0"/>
    <n v="0"/>
    <n v="0"/>
    <n v="0"/>
    <s v=" --"/>
    <n v="0"/>
    <s v=" --"/>
    <n v="0"/>
  </r>
  <r>
    <x v="0"/>
    <s v="Enabled"/>
    <x v="277"/>
    <x v="2"/>
    <x v="4"/>
    <s v="Not eligible"/>
    <s v="campaign paused"/>
    <n v="0"/>
    <s v="CAD"/>
    <n v="0"/>
    <n v="0"/>
    <n v="0"/>
    <n v="0"/>
    <s v=" --"/>
    <n v="0"/>
    <s v=" --"/>
    <n v="0"/>
  </r>
  <r>
    <x v="0"/>
    <s v="Enabled"/>
    <x v="278"/>
    <x v="2"/>
    <x v="4"/>
    <s v="Not eligible"/>
    <s v="campaign paused"/>
    <n v="0"/>
    <s v="CAD"/>
    <n v="0"/>
    <n v="0"/>
    <n v="0"/>
    <n v="0"/>
    <s v=" --"/>
    <n v="0"/>
    <s v=" --"/>
    <n v="0"/>
  </r>
  <r>
    <x v="0"/>
    <s v="Enabled"/>
    <x v="279"/>
    <x v="0"/>
    <x v="4"/>
    <s v="Not eligible"/>
    <s v="campaign paused"/>
    <n v="0"/>
    <s v="CAD"/>
    <n v="0"/>
    <n v="2"/>
    <n v="9.65"/>
    <n v="46"/>
    <n v="4.3499999999999997E-2"/>
    <n v="4.83"/>
    <n v="5"/>
    <n v="0"/>
  </r>
  <r>
    <x v="0"/>
    <s v="Enabled"/>
    <x v="280"/>
    <x v="2"/>
    <x v="4"/>
    <s v="Not eligible"/>
    <s v="campaign paused"/>
    <n v="0"/>
    <s v="CAD"/>
    <n v="0"/>
    <n v="0"/>
    <n v="0"/>
    <n v="2"/>
    <n v="0"/>
    <n v="0"/>
    <s v=" --"/>
    <n v="0"/>
  </r>
  <r>
    <x v="0"/>
    <s v="Enabled"/>
    <x v="281"/>
    <x v="0"/>
    <x v="4"/>
    <s v="Not eligible"/>
    <s v="campaign paused"/>
    <n v="0"/>
    <s v="CAD"/>
    <n v="0"/>
    <n v="0"/>
    <n v="0"/>
    <n v="0"/>
    <s v=" --"/>
    <n v="0"/>
    <s v=" --"/>
    <n v="0"/>
  </r>
  <r>
    <x v="0"/>
    <s v="Enabled"/>
    <x v="282"/>
    <x v="0"/>
    <x v="1"/>
    <s v="Not eligible"/>
    <s v="campaign paused"/>
    <n v="0"/>
    <s v="CAD"/>
    <n v="0"/>
    <n v="5"/>
    <n v="17.45"/>
    <n v="154"/>
    <n v="3.2500000000000001E-2"/>
    <n v="3.49"/>
    <s v=" --"/>
    <n v="0"/>
  </r>
  <r>
    <x v="0"/>
    <s v="Enabled"/>
    <x v="283"/>
    <x v="0"/>
    <x v="1"/>
    <s v="Not eligible"/>
    <s v="campaign paused"/>
    <n v="0"/>
    <s v="CAD"/>
    <n v="0"/>
    <n v="0"/>
    <n v="0"/>
    <n v="0"/>
    <s v=" --"/>
    <n v="0"/>
    <s v=" --"/>
    <n v="0"/>
  </r>
  <r>
    <x v="0"/>
    <s v="Enabled"/>
    <x v="284"/>
    <x v="0"/>
    <x v="1"/>
    <s v="Not eligible"/>
    <s v="campaign paused"/>
    <n v="0"/>
    <s v="CAD"/>
    <n v="0"/>
    <n v="3"/>
    <n v="11.89"/>
    <n v="56"/>
    <n v="5.3600000000000002E-2"/>
    <n v="3.96"/>
    <s v=" --"/>
    <n v="0"/>
  </r>
  <r>
    <x v="1"/>
    <s v="Enabled"/>
    <x v="148"/>
    <x v="1"/>
    <x v="2"/>
    <s v="Not eligible"/>
    <s v="campaign paused"/>
    <n v="0"/>
    <s v="CAD"/>
    <n v="0"/>
    <n v="0"/>
    <n v="0"/>
    <n v="0"/>
    <s v=" --"/>
    <n v="0"/>
    <s v=" --"/>
    <n v="0"/>
  </r>
  <r>
    <x v="1"/>
    <s v="Enabled"/>
    <x v="145"/>
    <x v="1"/>
    <x v="2"/>
    <s v="Not eligible"/>
    <s v="campaign paused"/>
    <n v="0"/>
    <s v="CAD"/>
    <n v="0"/>
    <n v="0"/>
    <n v="0"/>
    <n v="0"/>
    <s v=" --"/>
    <n v="0"/>
    <s v=" --"/>
    <n v="0"/>
  </r>
  <r>
    <x v="1"/>
    <s v="Enabled"/>
    <x v="152"/>
    <x v="2"/>
    <x v="2"/>
    <s v="Not eligible"/>
    <s v="campaign paused"/>
    <n v="0"/>
    <s v="CAD"/>
    <n v="0"/>
    <n v="0"/>
    <n v="0"/>
    <n v="0"/>
    <s v=" --"/>
    <n v="0"/>
    <s v=" --"/>
    <n v="0"/>
  </r>
  <r>
    <x v="1"/>
    <s v="Enabled"/>
    <x v="147"/>
    <x v="0"/>
    <x v="2"/>
    <s v="Not eligible"/>
    <s v="campaign paused"/>
    <n v="0"/>
    <s v="CAD"/>
    <n v="0"/>
    <n v="0"/>
    <n v="0"/>
    <n v="0"/>
    <s v=" --"/>
    <n v="0"/>
    <s v=" --"/>
    <n v="0"/>
  </r>
  <r>
    <x v="1"/>
    <s v="Enabled"/>
    <x v="150"/>
    <x v="0"/>
    <x v="2"/>
    <s v="Not eligible"/>
    <s v="campaign paused"/>
    <n v="0"/>
    <s v="CAD"/>
    <n v="0"/>
    <n v="0"/>
    <n v="0"/>
    <n v="0"/>
    <s v=" --"/>
    <n v="0"/>
    <s v=" --"/>
    <n v="0"/>
  </r>
  <r>
    <x v="1"/>
    <s v="Enabled"/>
    <x v="151"/>
    <x v="1"/>
    <x v="2"/>
    <s v="Not eligible"/>
    <s v="campaign paused"/>
    <n v="0"/>
    <s v="CAD"/>
    <n v="0"/>
    <n v="0"/>
    <n v="0"/>
    <n v="0"/>
    <s v=" --"/>
    <n v="0"/>
    <s v=" --"/>
    <n v="0"/>
  </r>
  <r>
    <x v="1"/>
    <s v="Enabled"/>
    <x v="146"/>
    <x v="2"/>
    <x v="2"/>
    <s v="Not eligible"/>
    <s v="campaign paused"/>
    <n v="0"/>
    <s v="CAD"/>
    <n v="0"/>
    <n v="0"/>
    <n v="0"/>
    <n v="0"/>
    <s v=" --"/>
    <n v="0"/>
    <s v=" --"/>
    <n v="0"/>
  </r>
  <r>
    <x v="1"/>
    <s v="Enabled"/>
    <x v="153"/>
    <x v="2"/>
    <x v="2"/>
    <s v="Not eligible"/>
    <s v="campaign paused"/>
    <n v="0"/>
    <s v="CAD"/>
    <n v="0"/>
    <n v="0"/>
    <n v="0"/>
    <n v="0"/>
    <s v=" --"/>
    <n v="0"/>
    <s v=" --"/>
    <n v="0"/>
  </r>
  <r>
    <x v="1"/>
    <s v="Enabled"/>
    <x v="149"/>
    <x v="0"/>
    <x v="2"/>
    <s v="Not eligible"/>
    <s v="campaign paused"/>
    <n v="0"/>
    <s v="CAD"/>
    <n v="0"/>
    <n v="2"/>
    <n v="9.2200000000000006"/>
    <n v="44"/>
    <n v="4.5499999999999999E-2"/>
    <n v="4.6100000000000003"/>
    <s v=" --"/>
    <n v="0"/>
  </r>
  <r>
    <x v="1"/>
    <s v="Enabled"/>
    <x v="163"/>
    <x v="1"/>
    <x v="1"/>
    <s v="Not eligible"/>
    <s v="campaign paused"/>
    <n v="0"/>
    <s v="CAD"/>
    <n v="0"/>
    <n v="0"/>
    <n v="0"/>
    <n v="0"/>
    <s v=" --"/>
    <n v="0"/>
    <s v=" --"/>
    <n v="0"/>
  </r>
  <r>
    <x v="1"/>
    <s v="Enabled"/>
    <x v="101"/>
    <x v="1"/>
    <x v="1"/>
    <s v="Not eligible"/>
    <s v="campaign paused"/>
    <n v="0"/>
    <s v="CAD"/>
    <n v="0"/>
    <n v="1"/>
    <n v="6.89"/>
    <n v="1"/>
    <n v="1"/>
    <n v="6.89"/>
    <n v="3"/>
    <n v="0"/>
  </r>
  <r>
    <x v="1"/>
    <s v="Enabled"/>
    <x v="240"/>
    <x v="0"/>
    <x v="1"/>
    <s v="Not eligible"/>
    <s v="campaign paused"/>
    <n v="0"/>
    <s v="CAD"/>
    <n v="0"/>
    <n v="0"/>
    <n v="0"/>
    <n v="0"/>
    <s v=" --"/>
    <n v="0"/>
    <s v=" --"/>
    <n v="0"/>
  </r>
  <r>
    <x v="1"/>
    <s v="Enabled"/>
    <x v="234"/>
    <x v="0"/>
    <x v="1"/>
    <s v="Not eligible"/>
    <s v="campaign paused"/>
    <n v="0"/>
    <s v="CAD"/>
    <n v="0"/>
    <n v="0"/>
    <n v="0"/>
    <n v="0"/>
    <s v=" --"/>
    <n v="0"/>
    <s v=" --"/>
    <n v="0"/>
  </r>
  <r>
    <x v="1"/>
    <s v="Enabled"/>
    <x v="138"/>
    <x v="0"/>
    <x v="1"/>
    <s v="Not eligible"/>
    <s v="campaign paused"/>
    <n v="0"/>
    <s v="CAD"/>
    <n v="0"/>
    <n v="0"/>
    <n v="0"/>
    <n v="0"/>
    <s v=" --"/>
    <n v="0"/>
    <s v=" --"/>
    <n v="0"/>
  </r>
  <r>
    <x v="1"/>
    <s v="Enabled"/>
    <x v="251"/>
    <x v="0"/>
    <x v="1"/>
    <s v="Not eligible"/>
    <s v="campaign paused"/>
    <n v="0"/>
    <s v="CAD"/>
    <n v="0"/>
    <n v="0"/>
    <n v="0"/>
    <n v="0"/>
    <s v=" --"/>
    <n v="0"/>
    <s v=" --"/>
    <n v="0"/>
  </r>
  <r>
    <x v="1"/>
    <s v="Enabled"/>
    <x v="106"/>
    <x v="0"/>
    <x v="1"/>
    <s v="Not eligible"/>
    <s v="campaign paused"/>
    <n v="0"/>
    <s v="CAD"/>
    <n v="0"/>
    <n v="0"/>
    <n v="0"/>
    <n v="2"/>
    <n v="0"/>
    <n v="0"/>
    <n v="6"/>
    <n v="0"/>
  </r>
  <r>
    <x v="1"/>
    <s v="Enabled"/>
    <x v="179"/>
    <x v="0"/>
    <x v="1"/>
    <s v="Not eligible"/>
    <s v="campaign paused"/>
    <n v="0"/>
    <s v="CAD"/>
    <n v="0"/>
    <n v="0"/>
    <n v="0"/>
    <n v="0"/>
    <s v=" --"/>
    <n v="0"/>
    <s v=" --"/>
    <n v="0"/>
  </r>
  <r>
    <x v="1"/>
    <s v="Enabled"/>
    <x v="121"/>
    <x v="1"/>
    <x v="1"/>
    <s v="Not eligible"/>
    <s v="campaign paused"/>
    <n v="0"/>
    <s v="CAD"/>
    <n v="0"/>
    <n v="0"/>
    <n v="0"/>
    <n v="0"/>
    <s v=" --"/>
    <n v="0"/>
    <s v=" --"/>
    <n v="0"/>
  </r>
  <r>
    <x v="1"/>
    <s v="Enabled"/>
    <x v="160"/>
    <x v="0"/>
    <x v="1"/>
    <s v="Not eligible"/>
    <s v="campaign paused"/>
    <n v="0"/>
    <s v="CAD"/>
    <n v="0"/>
    <n v="0"/>
    <n v="0"/>
    <n v="0"/>
    <s v=" --"/>
    <n v="0"/>
    <s v=" --"/>
    <n v="0"/>
  </r>
  <r>
    <x v="1"/>
    <s v="Enabled"/>
    <x v="227"/>
    <x v="0"/>
    <x v="1"/>
    <s v="Not eligible"/>
    <s v="campaign paused"/>
    <n v="0"/>
    <s v="CAD"/>
    <n v="0"/>
    <n v="0"/>
    <n v="0"/>
    <n v="0"/>
    <s v=" --"/>
    <n v="0"/>
    <s v=" --"/>
    <n v="0"/>
  </r>
  <r>
    <x v="1"/>
    <s v="Enabled"/>
    <x v="224"/>
    <x v="0"/>
    <x v="1"/>
    <s v="Not eligible"/>
    <s v="campaign paused"/>
    <n v="0"/>
    <s v="CAD"/>
    <n v="0"/>
    <n v="0"/>
    <n v="0"/>
    <n v="0"/>
    <s v=" --"/>
    <n v="0"/>
    <s v=" --"/>
    <n v="0"/>
  </r>
  <r>
    <x v="1"/>
    <s v="Enabled"/>
    <x v="102"/>
    <x v="0"/>
    <x v="1"/>
    <s v="Not eligible"/>
    <s v="campaign paused"/>
    <n v="0"/>
    <s v="CAD"/>
    <n v="0"/>
    <n v="0"/>
    <n v="0"/>
    <n v="0"/>
    <s v=" --"/>
    <n v="0"/>
    <s v=" --"/>
    <n v="0"/>
  </r>
  <r>
    <x v="1"/>
    <s v="Enabled"/>
    <x v="52"/>
    <x v="2"/>
    <x v="1"/>
    <s v="Not eligible"/>
    <s v="campaign paused"/>
    <n v="0"/>
    <s v="CAD"/>
    <n v="0"/>
    <n v="0"/>
    <n v="0"/>
    <n v="0"/>
    <s v=" --"/>
    <n v="0"/>
    <s v=" --"/>
    <n v="0"/>
  </r>
  <r>
    <x v="1"/>
    <s v="Enabled"/>
    <x v="137"/>
    <x v="0"/>
    <x v="1"/>
    <s v="Not eligible"/>
    <s v="campaign paused"/>
    <n v="1"/>
    <s v="CAD"/>
    <n v="40.36"/>
    <n v="14"/>
    <n v="40.36"/>
    <n v="155"/>
    <n v="9.0300000000000005E-2"/>
    <n v="2.88"/>
    <s v=" --"/>
    <n v="7.1400000000000005E-2"/>
  </r>
  <r>
    <x v="1"/>
    <s v="Enabled"/>
    <x v="144"/>
    <x v="0"/>
    <x v="1"/>
    <s v="Not eligible"/>
    <s v="campaign paused"/>
    <n v="0"/>
    <s v="CAD"/>
    <n v="0"/>
    <n v="0"/>
    <n v="0"/>
    <n v="0"/>
    <s v=" --"/>
    <n v="0"/>
    <s v=" --"/>
    <n v="0"/>
  </r>
  <r>
    <x v="1"/>
    <s v="Enabled"/>
    <x v="186"/>
    <x v="0"/>
    <x v="1"/>
    <s v="Not eligible"/>
    <s v="campaign paused"/>
    <n v="0"/>
    <s v="CAD"/>
    <n v="0"/>
    <n v="0"/>
    <n v="0"/>
    <n v="0"/>
    <s v=" --"/>
    <n v="0"/>
    <s v=" --"/>
    <n v="0"/>
  </r>
  <r>
    <x v="1"/>
    <s v="Enabled"/>
    <x v="175"/>
    <x v="2"/>
    <x v="1"/>
    <s v="Not eligible"/>
    <s v="campaign paused"/>
    <n v="0"/>
    <s v="CAD"/>
    <n v="0"/>
    <n v="0"/>
    <n v="0"/>
    <n v="0"/>
    <s v=" --"/>
    <n v="0"/>
    <s v=" --"/>
    <n v="0"/>
  </r>
  <r>
    <x v="1"/>
    <s v="Enabled"/>
    <x v="192"/>
    <x v="0"/>
    <x v="1"/>
    <s v="Not eligible"/>
    <s v="campaign paused"/>
    <n v="0"/>
    <s v="CAD"/>
    <n v="0"/>
    <n v="2"/>
    <n v="2.74"/>
    <n v="9"/>
    <n v="0.22220000000000001"/>
    <n v="1.37"/>
    <s v=" --"/>
    <n v="0"/>
  </r>
  <r>
    <x v="1"/>
    <s v="Enabled"/>
    <x v="48"/>
    <x v="0"/>
    <x v="1"/>
    <s v="Not eligible"/>
    <s v="campaign paused"/>
    <n v="0"/>
    <s v="CAD"/>
    <n v="0"/>
    <n v="0"/>
    <n v="0"/>
    <n v="0"/>
    <s v=" --"/>
    <n v="0"/>
    <s v=" --"/>
    <n v="0"/>
  </r>
  <r>
    <x v="1"/>
    <s v="Enabled"/>
    <x v="187"/>
    <x v="0"/>
    <x v="1"/>
    <s v="Not eligible"/>
    <s v="campaign paused"/>
    <n v="0"/>
    <s v="CAD"/>
    <n v="0"/>
    <n v="0"/>
    <n v="0"/>
    <n v="0"/>
    <s v=" --"/>
    <n v="0"/>
    <n v="3"/>
    <n v="0"/>
  </r>
  <r>
    <x v="1"/>
    <s v="Enabled"/>
    <x v="228"/>
    <x v="0"/>
    <x v="1"/>
    <s v="Not eligible"/>
    <s v="campaign paused"/>
    <n v="0"/>
    <s v="CAD"/>
    <n v="0"/>
    <n v="0"/>
    <n v="0"/>
    <n v="0"/>
    <s v=" --"/>
    <n v="0"/>
    <s v=" --"/>
    <n v="0"/>
  </r>
  <r>
    <x v="1"/>
    <s v="Enabled"/>
    <x v="90"/>
    <x v="2"/>
    <x v="1"/>
    <s v="Not eligible"/>
    <s v="campaign paused"/>
    <n v="0"/>
    <s v="CAD"/>
    <n v="0"/>
    <n v="0"/>
    <n v="0"/>
    <n v="0"/>
    <s v=" --"/>
    <n v="0"/>
    <s v=" --"/>
    <n v="0"/>
  </r>
  <r>
    <x v="1"/>
    <s v="Enabled"/>
    <x v="198"/>
    <x v="0"/>
    <x v="1"/>
    <s v="Not eligible"/>
    <s v="campaign paused"/>
    <n v="0"/>
    <s v="CAD"/>
    <n v="0"/>
    <n v="0"/>
    <n v="0"/>
    <n v="0"/>
    <s v=" --"/>
    <n v="0"/>
    <s v=" --"/>
    <n v="0"/>
  </r>
  <r>
    <x v="1"/>
    <s v="Enabled"/>
    <x v="125"/>
    <x v="1"/>
    <x v="1"/>
    <s v="Not eligible"/>
    <s v="campaign paused"/>
    <n v="0"/>
    <s v="CAD"/>
    <n v="0"/>
    <n v="0"/>
    <n v="0"/>
    <n v="0"/>
    <s v=" --"/>
    <n v="0"/>
    <s v=" --"/>
    <n v="0"/>
  </r>
  <r>
    <x v="1"/>
    <s v="Enabled"/>
    <x v="219"/>
    <x v="0"/>
    <x v="1"/>
    <s v="Not eligible"/>
    <s v="campaign paused"/>
    <n v="0"/>
    <s v="CAD"/>
    <n v="0"/>
    <n v="7"/>
    <n v="24.43"/>
    <n v="97"/>
    <n v="7.22E-2"/>
    <n v="3.49"/>
    <s v=" --"/>
    <n v="0"/>
  </r>
  <r>
    <x v="1"/>
    <s v="Enabled"/>
    <x v="206"/>
    <x v="2"/>
    <x v="1"/>
    <s v="Not eligible"/>
    <s v="campaign paused"/>
    <n v="0"/>
    <s v="CAD"/>
    <n v="0"/>
    <n v="0"/>
    <n v="0"/>
    <n v="0"/>
    <s v=" --"/>
    <n v="0"/>
    <s v=" --"/>
    <n v="0"/>
  </r>
  <r>
    <x v="1"/>
    <s v="Enabled"/>
    <x v="79"/>
    <x v="2"/>
    <x v="1"/>
    <s v="Not eligible"/>
    <s v="campaign paused"/>
    <n v="0"/>
    <s v="CAD"/>
    <n v="0"/>
    <n v="0"/>
    <n v="0"/>
    <n v="0"/>
    <s v=" --"/>
    <n v="0"/>
    <s v=" --"/>
    <n v="0"/>
  </r>
  <r>
    <x v="1"/>
    <s v="Enabled"/>
    <x v="159"/>
    <x v="0"/>
    <x v="1"/>
    <s v="Not eligible"/>
    <s v="campaign paused"/>
    <n v="0"/>
    <s v="CAD"/>
    <n v="0"/>
    <n v="0"/>
    <n v="0"/>
    <n v="0"/>
    <s v=" --"/>
    <n v="0"/>
    <s v=" --"/>
    <n v="0"/>
  </r>
  <r>
    <x v="1"/>
    <s v="Enabled"/>
    <x v="99"/>
    <x v="0"/>
    <x v="1"/>
    <s v="Not eligible"/>
    <s v="campaign paused"/>
    <n v="0"/>
    <s v="CAD"/>
    <n v="0"/>
    <n v="0"/>
    <n v="0"/>
    <n v="0"/>
    <s v=" --"/>
    <n v="0"/>
    <s v=" --"/>
    <n v="0"/>
  </r>
  <r>
    <x v="1"/>
    <s v="Enabled"/>
    <x v="50"/>
    <x v="0"/>
    <x v="1"/>
    <s v="Not eligible"/>
    <s v="campaign paused"/>
    <n v="0"/>
    <s v="CAD"/>
    <n v="0"/>
    <n v="0"/>
    <n v="0"/>
    <n v="0"/>
    <s v=" --"/>
    <n v="0"/>
    <s v=" --"/>
    <n v="0"/>
  </r>
  <r>
    <x v="1"/>
    <s v="Enabled"/>
    <x v="104"/>
    <x v="0"/>
    <x v="1"/>
    <s v="Not eligible"/>
    <s v="campaign paused"/>
    <n v="0"/>
    <s v="CAD"/>
    <n v="0"/>
    <n v="0"/>
    <n v="0"/>
    <n v="0"/>
    <s v=" --"/>
    <n v="0"/>
    <s v=" --"/>
    <n v="0"/>
  </r>
  <r>
    <x v="1"/>
    <s v="Enabled"/>
    <x v="223"/>
    <x v="0"/>
    <x v="1"/>
    <s v="Not eligible"/>
    <s v="campaign paused"/>
    <n v="0"/>
    <s v="CAD"/>
    <n v="0"/>
    <n v="0"/>
    <n v="0"/>
    <n v="0"/>
    <s v=" --"/>
    <n v="0"/>
    <s v=" --"/>
    <n v="0"/>
  </r>
  <r>
    <x v="1"/>
    <s v="Enabled"/>
    <x v="132"/>
    <x v="0"/>
    <x v="1"/>
    <s v="Not eligible"/>
    <s v="campaign paused"/>
    <n v="0"/>
    <s v="CAD"/>
    <n v="0"/>
    <n v="0"/>
    <n v="0"/>
    <n v="0"/>
    <s v=" --"/>
    <n v="0"/>
    <s v=" --"/>
    <n v="0"/>
  </r>
  <r>
    <x v="1"/>
    <s v="Enabled"/>
    <x v="171"/>
    <x v="2"/>
    <x v="1"/>
    <s v="Not eligible"/>
    <s v="campaign paused"/>
    <n v="0"/>
    <s v="CAD"/>
    <n v="0"/>
    <n v="0"/>
    <n v="0"/>
    <n v="0"/>
    <s v=" --"/>
    <n v="0"/>
    <s v=" --"/>
    <n v="0"/>
  </r>
  <r>
    <x v="1"/>
    <s v="Enabled"/>
    <x v="122"/>
    <x v="0"/>
    <x v="1"/>
    <s v="Not eligible"/>
    <s v="campaign paused"/>
    <n v="0"/>
    <s v="CAD"/>
    <n v="0"/>
    <n v="0"/>
    <n v="0"/>
    <n v="0"/>
    <s v=" --"/>
    <n v="0"/>
    <s v=" --"/>
    <n v="0"/>
  </r>
  <r>
    <x v="1"/>
    <s v="Enabled"/>
    <x v="197"/>
    <x v="0"/>
    <x v="1"/>
    <s v="Not eligible"/>
    <s v="campaign paused"/>
    <n v="0"/>
    <s v="CAD"/>
    <n v="0"/>
    <n v="0"/>
    <n v="0"/>
    <n v="0"/>
    <s v=" --"/>
    <n v="0"/>
    <s v=" --"/>
    <n v="0"/>
  </r>
  <r>
    <x v="1"/>
    <s v="Enabled"/>
    <x v="213"/>
    <x v="1"/>
    <x v="1"/>
    <s v="Not eligible"/>
    <s v="campaign paused"/>
    <n v="0"/>
    <s v="CAD"/>
    <n v="0"/>
    <n v="0"/>
    <n v="0"/>
    <n v="0"/>
    <s v=" --"/>
    <n v="0"/>
    <n v="5"/>
    <n v="0"/>
  </r>
  <r>
    <x v="1"/>
    <s v="Enabled"/>
    <x v="205"/>
    <x v="0"/>
    <x v="1"/>
    <s v="Not eligible"/>
    <s v="campaign paused"/>
    <n v="0"/>
    <s v="CAD"/>
    <n v="0"/>
    <n v="0"/>
    <n v="0"/>
    <n v="2"/>
    <n v="0"/>
    <n v="0"/>
    <s v=" --"/>
    <n v="0"/>
  </r>
  <r>
    <x v="1"/>
    <s v="Enabled"/>
    <x v="123"/>
    <x v="0"/>
    <x v="1"/>
    <s v="Not eligible"/>
    <s v="campaign paused"/>
    <n v="0"/>
    <s v="CAD"/>
    <n v="0"/>
    <n v="0"/>
    <n v="0"/>
    <n v="0"/>
    <s v=" --"/>
    <n v="0"/>
    <s v=" --"/>
    <n v="0"/>
  </r>
  <r>
    <x v="1"/>
    <s v="Enabled"/>
    <x v="15"/>
    <x v="0"/>
    <x v="1"/>
    <s v="Not eligible"/>
    <s v="campaign paused"/>
    <n v="0"/>
    <s v="CAD"/>
    <n v="0"/>
    <n v="0"/>
    <n v="0"/>
    <n v="3"/>
    <n v="0"/>
    <n v="0"/>
    <s v=" --"/>
    <n v="0"/>
  </r>
  <r>
    <x v="1"/>
    <s v="Enabled"/>
    <x v="154"/>
    <x v="0"/>
    <x v="1"/>
    <s v="Not eligible"/>
    <s v="campaign paused"/>
    <n v="1"/>
    <s v="CAD"/>
    <n v="26.05"/>
    <n v="7"/>
    <n v="26.05"/>
    <n v="118"/>
    <n v="5.9299999999999999E-2"/>
    <n v="3.72"/>
    <s v=" --"/>
    <n v="0.1429"/>
  </r>
  <r>
    <x v="1"/>
    <s v="Enabled"/>
    <x v="195"/>
    <x v="0"/>
    <x v="1"/>
    <s v="Not eligible"/>
    <s v="campaign paused"/>
    <n v="0"/>
    <s v="CAD"/>
    <n v="0"/>
    <n v="0"/>
    <n v="0"/>
    <n v="0"/>
    <s v=" --"/>
    <n v="0"/>
    <s v=" --"/>
    <n v="0"/>
  </r>
  <r>
    <x v="1"/>
    <s v="Enabled"/>
    <x v="83"/>
    <x v="2"/>
    <x v="1"/>
    <s v="Not eligible"/>
    <s v="campaign paused"/>
    <n v="0"/>
    <s v="CAD"/>
    <n v="0"/>
    <n v="0"/>
    <n v="0"/>
    <n v="0"/>
    <s v=" --"/>
    <n v="0"/>
    <s v=" --"/>
    <n v="0"/>
  </r>
  <r>
    <x v="1"/>
    <s v="Enabled"/>
    <x v="194"/>
    <x v="0"/>
    <x v="1"/>
    <s v="Not eligible"/>
    <s v="campaign paused"/>
    <n v="0"/>
    <s v="CAD"/>
    <n v="0"/>
    <n v="0"/>
    <n v="0"/>
    <n v="0"/>
    <s v=" --"/>
    <n v="0"/>
    <s v=" --"/>
    <n v="0"/>
  </r>
  <r>
    <x v="1"/>
    <s v="Enabled"/>
    <x v="214"/>
    <x v="0"/>
    <x v="1"/>
    <s v="Not eligible"/>
    <s v="campaign paused"/>
    <n v="0"/>
    <s v="CAD"/>
    <n v="0"/>
    <n v="0"/>
    <n v="0"/>
    <n v="0"/>
    <s v=" --"/>
    <n v="0"/>
    <s v=" --"/>
    <n v="0"/>
  </r>
  <r>
    <x v="1"/>
    <s v="Enabled"/>
    <x v="128"/>
    <x v="0"/>
    <x v="1"/>
    <s v="Not eligible"/>
    <s v="campaign paused"/>
    <n v="0"/>
    <s v="CAD"/>
    <n v="0"/>
    <n v="0"/>
    <n v="0"/>
    <n v="0"/>
    <s v=" --"/>
    <n v="0"/>
    <s v=" --"/>
    <n v="0"/>
  </r>
  <r>
    <x v="1"/>
    <s v="Enabled"/>
    <x v="203"/>
    <x v="0"/>
    <x v="1"/>
    <s v="Not eligible"/>
    <s v="campaign paused"/>
    <n v="0"/>
    <s v="CAD"/>
    <n v="0"/>
    <n v="0"/>
    <n v="0"/>
    <n v="0"/>
    <s v=" --"/>
    <n v="0"/>
    <s v=" --"/>
    <n v="0"/>
  </r>
  <r>
    <x v="1"/>
    <s v="Enabled"/>
    <x v="114"/>
    <x v="2"/>
    <x v="1"/>
    <s v="Not eligible"/>
    <s v="campaign paused"/>
    <n v="0"/>
    <s v="CAD"/>
    <n v="0"/>
    <n v="0"/>
    <n v="0"/>
    <n v="0"/>
    <s v=" --"/>
    <n v="0"/>
    <s v=" --"/>
    <n v="0"/>
  </r>
  <r>
    <x v="1"/>
    <s v="Enabled"/>
    <x v="84"/>
    <x v="0"/>
    <x v="1"/>
    <s v="Not eligible"/>
    <s v="campaign paused"/>
    <n v="0"/>
    <s v="CAD"/>
    <n v="0"/>
    <n v="0"/>
    <n v="0"/>
    <n v="0"/>
    <s v=" --"/>
    <n v="0"/>
    <s v=" --"/>
    <n v="0"/>
  </r>
  <r>
    <x v="1"/>
    <s v="Enabled"/>
    <x v="118"/>
    <x v="0"/>
    <x v="1"/>
    <s v="Not eligible"/>
    <s v="campaign paused"/>
    <n v="0"/>
    <s v="CAD"/>
    <n v="0"/>
    <n v="0"/>
    <n v="0"/>
    <n v="0"/>
    <s v=" --"/>
    <n v="0"/>
    <s v=" --"/>
    <n v="0"/>
  </r>
  <r>
    <x v="1"/>
    <s v="Enabled"/>
    <x v="115"/>
    <x v="0"/>
    <x v="1"/>
    <s v="Not eligible"/>
    <s v="campaign paused"/>
    <n v="0"/>
    <s v="CAD"/>
    <n v="0"/>
    <n v="0"/>
    <n v="0"/>
    <n v="0"/>
    <s v=" --"/>
    <n v="0"/>
    <s v=" --"/>
    <n v="0"/>
  </r>
  <r>
    <x v="1"/>
    <s v="Enabled"/>
    <x v="237"/>
    <x v="0"/>
    <x v="1"/>
    <s v="Not eligible"/>
    <s v="campaign paused"/>
    <n v="0"/>
    <s v="CAD"/>
    <n v="0"/>
    <n v="0"/>
    <n v="0"/>
    <n v="0"/>
    <s v=" --"/>
    <n v="0"/>
    <s v=" --"/>
    <n v="0"/>
  </r>
  <r>
    <x v="1"/>
    <s v="Enabled"/>
    <x v="127"/>
    <x v="0"/>
    <x v="1"/>
    <s v="Not eligible"/>
    <s v="campaign paused"/>
    <n v="0"/>
    <s v="CAD"/>
    <n v="0"/>
    <n v="0"/>
    <n v="0"/>
    <n v="0"/>
    <s v=" --"/>
    <n v="0"/>
    <s v=" --"/>
    <n v="0"/>
  </r>
  <r>
    <x v="1"/>
    <s v="Enabled"/>
    <x v="88"/>
    <x v="0"/>
    <x v="1"/>
    <s v="Not eligible"/>
    <s v="campaign paused"/>
    <n v="0"/>
    <s v="CAD"/>
    <n v="0"/>
    <n v="0"/>
    <n v="0"/>
    <n v="0"/>
    <s v=" --"/>
    <n v="0"/>
    <s v=" --"/>
    <n v="0"/>
  </r>
  <r>
    <x v="1"/>
    <s v="Enabled"/>
    <x v="210"/>
    <x v="0"/>
    <x v="1"/>
    <s v="Not eligible"/>
    <s v="campaign paused"/>
    <n v="0"/>
    <s v="CAD"/>
    <n v="0"/>
    <n v="5"/>
    <n v="9.56"/>
    <n v="35"/>
    <n v="0.1429"/>
    <n v="1.91"/>
    <s v=" --"/>
    <n v="0"/>
  </r>
  <r>
    <x v="1"/>
    <s v="Enabled"/>
    <x v="155"/>
    <x v="0"/>
    <x v="1"/>
    <s v="Not eligible"/>
    <s v="campaign paused"/>
    <n v="0"/>
    <s v="CAD"/>
    <n v="0"/>
    <n v="0"/>
    <n v="0"/>
    <n v="0"/>
    <s v=" --"/>
    <n v="0"/>
    <s v=" --"/>
    <n v="0"/>
  </r>
  <r>
    <x v="1"/>
    <s v="Enabled"/>
    <x v="80"/>
    <x v="0"/>
    <x v="1"/>
    <s v="Not eligible"/>
    <s v="campaign paused"/>
    <n v="0"/>
    <s v="CAD"/>
    <n v="0"/>
    <n v="0"/>
    <n v="0"/>
    <n v="0"/>
    <s v=" --"/>
    <n v="0"/>
    <s v=" --"/>
    <n v="0"/>
  </r>
  <r>
    <x v="1"/>
    <s v="Enabled"/>
    <x v="244"/>
    <x v="0"/>
    <x v="1"/>
    <s v="Not eligible"/>
    <s v="campaign paused"/>
    <n v="0"/>
    <s v="CAD"/>
    <n v="0"/>
    <n v="0"/>
    <n v="0"/>
    <n v="0"/>
    <s v=" --"/>
    <n v="0"/>
    <s v=" --"/>
    <n v="0"/>
  </r>
  <r>
    <x v="1"/>
    <s v="Enabled"/>
    <x v="200"/>
    <x v="0"/>
    <x v="1"/>
    <s v="Not eligible"/>
    <s v="campaign paused"/>
    <n v="0"/>
    <s v="CAD"/>
    <n v="0"/>
    <n v="0"/>
    <n v="0"/>
    <n v="0"/>
    <s v=" --"/>
    <n v="0"/>
    <s v=" --"/>
    <n v="0"/>
  </r>
  <r>
    <x v="1"/>
    <s v="Enabled"/>
    <x v="211"/>
    <x v="0"/>
    <x v="1"/>
    <s v="Not eligible"/>
    <s v="campaign paused"/>
    <n v="0"/>
    <s v="CAD"/>
    <n v="0"/>
    <n v="0"/>
    <n v="0"/>
    <n v="0"/>
    <s v=" --"/>
    <n v="0"/>
    <s v=" --"/>
    <n v="0"/>
  </r>
  <r>
    <x v="1"/>
    <s v="Enabled"/>
    <x v="243"/>
    <x v="2"/>
    <x v="1"/>
    <s v="Not eligible"/>
    <s v="campaign paused"/>
    <n v="0"/>
    <s v="CAD"/>
    <n v="0"/>
    <n v="1"/>
    <n v="5.74"/>
    <n v="2"/>
    <n v="0.5"/>
    <n v="5.74"/>
    <s v=" --"/>
    <n v="0"/>
  </r>
  <r>
    <x v="1"/>
    <s v="Enabled"/>
    <x v="185"/>
    <x v="0"/>
    <x v="1"/>
    <s v="Not eligible"/>
    <s v="campaign paused"/>
    <n v="0"/>
    <s v="CAD"/>
    <n v="0"/>
    <n v="1"/>
    <n v="3.77"/>
    <n v="9"/>
    <n v="0.1111"/>
    <n v="3.77"/>
    <n v="3"/>
    <n v="0"/>
  </r>
  <r>
    <x v="1"/>
    <s v="Enabled"/>
    <x v="247"/>
    <x v="1"/>
    <x v="1"/>
    <s v="Not eligible"/>
    <s v="campaign paused"/>
    <n v="0"/>
    <s v="CAD"/>
    <n v="0"/>
    <n v="0"/>
    <n v="0"/>
    <n v="0"/>
    <s v=" --"/>
    <n v="0"/>
    <s v=" --"/>
    <n v="0"/>
  </r>
  <r>
    <x v="1"/>
    <s v="Enabled"/>
    <x v="100"/>
    <x v="0"/>
    <x v="1"/>
    <s v="Not eligible"/>
    <s v="campaign paused"/>
    <n v="0"/>
    <s v="CAD"/>
    <n v="0"/>
    <n v="0"/>
    <n v="0"/>
    <n v="0"/>
    <s v=" --"/>
    <n v="0"/>
    <n v="8"/>
    <n v="0"/>
  </r>
  <r>
    <x v="1"/>
    <s v="Enabled"/>
    <x v="63"/>
    <x v="0"/>
    <x v="1"/>
    <s v="Not eligible"/>
    <s v="campaign paused"/>
    <n v="0"/>
    <s v="CAD"/>
    <n v="0"/>
    <n v="0"/>
    <n v="0"/>
    <n v="0"/>
    <s v=" --"/>
    <n v="0"/>
    <s v=" --"/>
    <n v="0"/>
  </r>
  <r>
    <x v="1"/>
    <s v="Enabled"/>
    <x v="236"/>
    <x v="0"/>
    <x v="1"/>
    <s v="Not eligible"/>
    <s v="campaign paused"/>
    <n v="0"/>
    <s v="CAD"/>
    <n v="0"/>
    <n v="0"/>
    <n v="0"/>
    <n v="0"/>
    <s v=" --"/>
    <n v="0"/>
    <s v=" --"/>
    <n v="0"/>
  </r>
  <r>
    <x v="1"/>
    <s v="Paused"/>
    <x v="69"/>
    <x v="0"/>
    <x v="1"/>
    <s v="Paused"/>
    <s v="paused; campaign paused"/>
    <n v="0"/>
    <s v="CAD"/>
    <n v="0"/>
    <n v="0"/>
    <n v="0"/>
    <n v="0"/>
    <s v=" --"/>
    <n v="0"/>
    <s v=" --"/>
    <n v="0"/>
  </r>
  <r>
    <x v="1"/>
    <s v="Enabled"/>
    <x v="53"/>
    <x v="0"/>
    <x v="1"/>
    <s v="Not eligible"/>
    <s v="campaign paused"/>
    <n v="0"/>
    <s v="CAD"/>
    <n v="0"/>
    <n v="0"/>
    <n v="0"/>
    <n v="0"/>
    <s v=" --"/>
    <n v="0"/>
    <s v=" --"/>
    <n v="0"/>
  </r>
  <r>
    <x v="1"/>
    <s v="Enabled"/>
    <x v="250"/>
    <x v="0"/>
    <x v="1"/>
    <s v="Not eligible"/>
    <s v="campaign paused"/>
    <n v="0"/>
    <s v="CAD"/>
    <n v="0"/>
    <n v="0"/>
    <n v="0"/>
    <n v="0"/>
    <s v=" --"/>
    <n v="0"/>
    <s v=" --"/>
    <n v="0"/>
  </r>
  <r>
    <x v="1"/>
    <s v="Enabled"/>
    <x v="131"/>
    <x v="0"/>
    <x v="1"/>
    <s v="Not eligible"/>
    <s v="campaign paused"/>
    <n v="0"/>
    <s v="CAD"/>
    <n v="0"/>
    <n v="0"/>
    <n v="0"/>
    <n v="0"/>
    <s v=" --"/>
    <n v="0"/>
    <s v=" --"/>
    <n v="0"/>
  </r>
  <r>
    <x v="1"/>
    <s v="Enabled"/>
    <x v="96"/>
    <x v="0"/>
    <x v="1"/>
    <s v="Not eligible"/>
    <s v="campaign paused"/>
    <n v="0"/>
    <s v="CAD"/>
    <n v="0"/>
    <n v="0"/>
    <n v="0"/>
    <n v="0"/>
    <s v=" --"/>
    <n v="0"/>
    <s v=" --"/>
    <n v="0"/>
  </r>
  <r>
    <x v="1"/>
    <s v="Enabled"/>
    <x v="105"/>
    <x v="0"/>
    <x v="1"/>
    <s v="Not eligible"/>
    <s v="campaign paused"/>
    <n v="0"/>
    <s v="CAD"/>
    <n v="0"/>
    <n v="0"/>
    <n v="0"/>
    <n v="0"/>
    <s v=" --"/>
    <n v="0"/>
    <s v=" --"/>
    <n v="0"/>
  </r>
  <r>
    <x v="1"/>
    <s v="Enabled"/>
    <x v="249"/>
    <x v="0"/>
    <x v="1"/>
    <s v="Not eligible"/>
    <s v="campaign paused"/>
    <n v="0"/>
    <s v="CAD"/>
    <n v="0"/>
    <n v="0"/>
    <n v="0"/>
    <n v="0"/>
    <s v=" --"/>
    <n v="0"/>
    <s v=" --"/>
    <n v="0"/>
  </r>
  <r>
    <x v="1"/>
    <s v="Enabled"/>
    <x v="174"/>
    <x v="0"/>
    <x v="1"/>
    <s v="Not eligible"/>
    <s v="campaign paused"/>
    <n v="0"/>
    <s v="CAD"/>
    <n v="0"/>
    <n v="0"/>
    <n v="0"/>
    <n v="1"/>
    <n v="0"/>
    <n v="0"/>
    <s v=" --"/>
    <n v="0"/>
  </r>
  <r>
    <x v="1"/>
    <s v="Enabled"/>
    <x v="189"/>
    <x v="2"/>
    <x v="1"/>
    <s v="Not eligible"/>
    <s v="campaign paused"/>
    <n v="0"/>
    <s v="CAD"/>
    <n v="0"/>
    <n v="1"/>
    <n v="3.04"/>
    <n v="2"/>
    <n v="0.5"/>
    <n v="3.04"/>
    <n v="3"/>
    <n v="0"/>
  </r>
  <r>
    <x v="1"/>
    <s v="Enabled"/>
    <x v="134"/>
    <x v="0"/>
    <x v="1"/>
    <s v="Not eligible"/>
    <s v="campaign paused"/>
    <n v="0"/>
    <s v="CAD"/>
    <n v="0"/>
    <n v="0"/>
    <n v="0"/>
    <n v="0"/>
    <s v=" --"/>
    <n v="0"/>
    <s v=" --"/>
    <n v="0"/>
  </r>
  <r>
    <x v="1"/>
    <s v="Enabled"/>
    <x v="130"/>
    <x v="0"/>
    <x v="1"/>
    <s v="Not eligible"/>
    <s v="campaign paused"/>
    <n v="0"/>
    <s v="CAD"/>
    <n v="0"/>
    <n v="0"/>
    <n v="0"/>
    <n v="0"/>
    <s v=" --"/>
    <n v="0"/>
    <s v=" --"/>
    <n v="0"/>
  </r>
  <r>
    <x v="1"/>
    <s v="Enabled"/>
    <x v="226"/>
    <x v="0"/>
    <x v="1"/>
    <s v="Not eligible"/>
    <s v="campaign paused"/>
    <n v="0"/>
    <s v="CAD"/>
    <n v="0"/>
    <n v="5"/>
    <n v="13.84"/>
    <n v="104"/>
    <n v="4.8099999999999997E-2"/>
    <n v="2.77"/>
    <s v=" --"/>
    <n v="0"/>
  </r>
  <r>
    <x v="1"/>
    <s v="Enabled"/>
    <x v="229"/>
    <x v="0"/>
    <x v="1"/>
    <s v="Not eligible"/>
    <s v="campaign paused"/>
    <n v="0"/>
    <s v="CAD"/>
    <n v="0"/>
    <n v="0"/>
    <n v="0"/>
    <n v="0"/>
    <s v=" --"/>
    <n v="0"/>
    <s v=" --"/>
    <n v="0"/>
  </r>
  <r>
    <x v="1"/>
    <s v="Enabled"/>
    <x v="58"/>
    <x v="0"/>
    <x v="1"/>
    <s v="Not eligible"/>
    <s v="campaign paused"/>
    <n v="0"/>
    <s v="CAD"/>
    <n v="0"/>
    <n v="0"/>
    <n v="0"/>
    <n v="0"/>
    <s v=" --"/>
    <n v="0"/>
    <s v=" --"/>
    <n v="0"/>
  </r>
  <r>
    <x v="1"/>
    <s v="Enabled"/>
    <x v="164"/>
    <x v="0"/>
    <x v="1"/>
    <s v="Not eligible"/>
    <s v="campaign paused"/>
    <n v="0"/>
    <s v="CAD"/>
    <n v="0"/>
    <n v="0"/>
    <n v="0"/>
    <n v="0"/>
    <s v=" --"/>
    <n v="0"/>
    <s v=" --"/>
    <n v="0"/>
  </r>
  <r>
    <x v="1"/>
    <s v="Enabled"/>
    <x v="212"/>
    <x v="0"/>
    <x v="1"/>
    <s v="Not eligible"/>
    <s v="campaign paused"/>
    <n v="0"/>
    <s v="CAD"/>
    <n v="0"/>
    <n v="0"/>
    <n v="0"/>
    <n v="0"/>
    <s v=" --"/>
    <n v="0"/>
    <s v=" --"/>
    <n v="0"/>
  </r>
  <r>
    <x v="1"/>
    <s v="Enabled"/>
    <x v="117"/>
    <x v="0"/>
    <x v="1"/>
    <s v="Not eligible"/>
    <s v="campaign paused"/>
    <n v="0"/>
    <s v="CAD"/>
    <n v="0"/>
    <n v="0"/>
    <n v="0"/>
    <n v="0"/>
    <s v=" --"/>
    <n v="0"/>
    <s v=" --"/>
    <n v="0"/>
  </r>
  <r>
    <x v="1"/>
    <s v="Enabled"/>
    <x v="135"/>
    <x v="0"/>
    <x v="1"/>
    <s v="Not eligible"/>
    <s v="campaign paused"/>
    <n v="0"/>
    <s v="CAD"/>
    <n v="0"/>
    <n v="0"/>
    <n v="0"/>
    <n v="0"/>
    <s v=" --"/>
    <n v="0"/>
    <s v=" --"/>
    <n v="0"/>
  </r>
  <r>
    <x v="1"/>
    <s v="Enabled"/>
    <x v="82"/>
    <x v="0"/>
    <x v="1"/>
    <s v="Not eligible"/>
    <s v="campaign paused"/>
    <n v="0"/>
    <s v="CAD"/>
    <n v="0"/>
    <n v="0"/>
    <n v="0"/>
    <n v="0"/>
    <s v=" --"/>
    <n v="0"/>
    <s v=" --"/>
    <n v="0"/>
  </r>
  <r>
    <x v="1"/>
    <s v="Enabled"/>
    <x v="107"/>
    <x v="0"/>
    <x v="1"/>
    <s v="Not eligible"/>
    <s v="campaign paused"/>
    <n v="0"/>
    <s v="CAD"/>
    <n v="0"/>
    <n v="1"/>
    <n v="3.52"/>
    <n v="12"/>
    <n v="8.3299999999999999E-2"/>
    <n v="3.52"/>
    <s v=" --"/>
    <n v="0"/>
  </r>
  <r>
    <x v="1"/>
    <s v="Enabled"/>
    <x v="233"/>
    <x v="0"/>
    <x v="1"/>
    <s v="Not eligible"/>
    <s v="campaign paused"/>
    <n v="0"/>
    <s v="CAD"/>
    <n v="0"/>
    <n v="0"/>
    <n v="0"/>
    <n v="0"/>
    <s v=" --"/>
    <n v="0"/>
    <s v=" --"/>
    <n v="0"/>
  </r>
  <r>
    <x v="1"/>
    <s v="Enabled"/>
    <x v="220"/>
    <x v="0"/>
    <x v="1"/>
    <s v="Not eligible"/>
    <s v="campaign paused"/>
    <n v="0"/>
    <s v="CAD"/>
    <n v="0"/>
    <n v="0"/>
    <n v="0"/>
    <n v="5"/>
    <n v="0"/>
    <n v="0"/>
    <n v="3"/>
    <n v="0"/>
  </r>
  <r>
    <x v="1"/>
    <s v="Enabled"/>
    <x v="51"/>
    <x v="0"/>
    <x v="1"/>
    <s v="Not eligible"/>
    <s v="campaign paused"/>
    <n v="0"/>
    <s v="CAD"/>
    <n v="0"/>
    <n v="0"/>
    <n v="0"/>
    <n v="0"/>
    <s v=" --"/>
    <n v="0"/>
    <s v=" --"/>
    <n v="0"/>
  </r>
  <r>
    <x v="1"/>
    <s v="Enabled"/>
    <x v="97"/>
    <x v="0"/>
    <x v="1"/>
    <s v="Not eligible"/>
    <s v="campaign paused"/>
    <n v="0"/>
    <s v="CAD"/>
    <n v="0"/>
    <n v="0"/>
    <n v="0"/>
    <n v="0"/>
    <s v=" --"/>
    <n v="0"/>
    <s v=" --"/>
    <n v="0"/>
  </r>
  <r>
    <x v="1"/>
    <s v="Enabled"/>
    <x v="55"/>
    <x v="0"/>
    <x v="1"/>
    <s v="Not eligible"/>
    <s v="campaign paused"/>
    <n v="0"/>
    <s v="CAD"/>
    <n v="0"/>
    <n v="0"/>
    <n v="0"/>
    <n v="0"/>
    <s v=" --"/>
    <n v="0"/>
    <s v=" --"/>
    <n v="0"/>
  </r>
  <r>
    <x v="1"/>
    <s v="Enabled"/>
    <x v="216"/>
    <x v="0"/>
    <x v="1"/>
    <s v="Not eligible"/>
    <s v="campaign paused"/>
    <n v="0"/>
    <s v="CAD"/>
    <n v="0"/>
    <n v="0"/>
    <n v="0"/>
    <n v="0"/>
    <s v=" --"/>
    <n v="0"/>
    <s v=" --"/>
    <n v="0"/>
  </r>
  <r>
    <x v="1"/>
    <s v="Enabled"/>
    <x v="66"/>
    <x v="0"/>
    <x v="1"/>
    <s v="Not eligible"/>
    <s v="campaign paused"/>
    <n v="0"/>
    <s v="CAD"/>
    <n v="0"/>
    <n v="0"/>
    <n v="0"/>
    <n v="0"/>
    <s v=" --"/>
    <n v="0"/>
    <s v=" --"/>
    <n v="0"/>
  </r>
  <r>
    <x v="1"/>
    <s v="Enabled"/>
    <x v="215"/>
    <x v="0"/>
    <x v="1"/>
    <s v="Not eligible"/>
    <s v="campaign paused"/>
    <n v="0"/>
    <s v="CAD"/>
    <n v="0"/>
    <n v="0"/>
    <n v="0"/>
    <n v="0"/>
    <s v=" --"/>
    <n v="0"/>
    <s v=" --"/>
    <n v="0"/>
  </r>
  <r>
    <x v="1"/>
    <s v="Enabled"/>
    <x v="56"/>
    <x v="0"/>
    <x v="1"/>
    <s v="Not eligible"/>
    <s v="campaign paused"/>
    <n v="0"/>
    <s v="CAD"/>
    <n v="0"/>
    <n v="0"/>
    <n v="0"/>
    <n v="0"/>
    <s v=" --"/>
    <n v="0"/>
    <s v=" --"/>
    <n v="0"/>
  </r>
  <r>
    <x v="1"/>
    <s v="Enabled"/>
    <x v="202"/>
    <x v="0"/>
    <x v="1"/>
    <s v="Not eligible"/>
    <s v="campaign paused"/>
    <n v="0"/>
    <s v="CAD"/>
    <n v="0"/>
    <n v="0"/>
    <n v="0"/>
    <n v="0"/>
    <s v=" --"/>
    <n v="0"/>
    <s v=" --"/>
    <n v="0"/>
  </r>
  <r>
    <x v="1"/>
    <s v="Enabled"/>
    <x v="201"/>
    <x v="0"/>
    <x v="1"/>
    <s v="Not eligible"/>
    <s v="campaign paused"/>
    <n v="0"/>
    <s v="CAD"/>
    <n v="0"/>
    <n v="0"/>
    <n v="0"/>
    <n v="0"/>
    <s v=" --"/>
    <n v="0"/>
    <s v=" --"/>
    <n v="0"/>
  </r>
  <r>
    <x v="1"/>
    <s v="Enabled"/>
    <x v="32"/>
    <x v="0"/>
    <x v="0"/>
    <s v="Not eligible"/>
    <s v="rarely served; ad group paused; campaign paused"/>
    <n v="0"/>
    <s v="CAD"/>
    <n v="0"/>
    <n v="0"/>
    <n v="0"/>
    <n v="0"/>
    <s v=" --"/>
    <n v="0"/>
    <s v=" --"/>
    <n v="0"/>
  </r>
  <r>
    <x v="1"/>
    <s v="Paused"/>
    <x v="34"/>
    <x v="1"/>
    <x v="0"/>
    <s v="Paused"/>
    <s v="paused; ad group paused; campaign paused"/>
    <n v="0"/>
    <s v="CAD"/>
    <n v="0"/>
    <n v="0"/>
    <n v="0"/>
    <n v="0"/>
    <s v=" --"/>
    <n v="0"/>
    <s v=" --"/>
    <n v="0"/>
  </r>
  <r>
    <x v="1"/>
    <s v="Enabled"/>
    <x v="10"/>
    <x v="0"/>
    <x v="0"/>
    <s v="Not eligible"/>
    <s v="rarely served; ad group paused; campaign paused"/>
    <n v="0"/>
    <s v="CAD"/>
    <n v="0"/>
    <n v="0"/>
    <n v="0"/>
    <n v="0"/>
    <s v=" --"/>
    <n v="0"/>
    <s v=" --"/>
    <n v="0"/>
  </r>
  <r>
    <x v="1"/>
    <s v="Enabled"/>
    <x v="0"/>
    <x v="0"/>
    <x v="0"/>
    <s v="Not eligible"/>
    <s v="rarely served; ad group paused; campaign paused"/>
    <n v="0"/>
    <s v="CAD"/>
    <n v="0"/>
    <n v="0"/>
    <n v="0"/>
    <n v="0"/>
    <s v=" --"/>
    <n v="0"/>
    <s v=" --"/>
    <n v="0"/>
  </r>
  <r>
    <x v="1"/>
    <s v="Enabled"/>
    <x v="16"/>
    <x v="1"/>
    <x v="0"/>
    <s v="Not eligible"/>
    <s v="ad group paused; campaign paused"/>
    <n v="0"/>
    <s v="CAD"/>
    <n v="0"/>
    <n v="0"/>
    <n v="0"/>
    <n v="0"/>
    <s v=" --"/>
    <n v="0"/>
    <s v=" --"/>
    <n v="0"/>
  </r>
  <r>
    <x v="1"/>
    <s v="Enabled"/>
    <x v="35"/>
    <x v="0"/>
    <x v="0"/>
    <s v="Not eligible"/>
    <s v="ad group paused; campaign paused"/>
    <n v="0"/>
    <s v="CAD"/>
    <n v="0"/>
    <n v="0"/>
    <n v="0"/>
    <n v="0"/>
    <s v=" --"/>
    <n v="0"/>
    <s v=" --"/>
    <n v="0"/>
  </r>
  <r>
    <x v="1"/>
    <s v="Enabled"/>
    <x v="33"/>
    <x v="1"/>
    <x v="0"/>
    <s v="Not eligible"/>
    <s v="ad group paused; campaign paused"/>
    <n v="0"/>
    <s v="CAD"/>
    <n v="0"/>
    <n v="0"/>
    <n v="0"/>
    <n v="0"/>
    <s v=" --"/>
    <n v="0"/>
    <s v=" --"/>
    <n v="0"/>
  </r>
  <r>
    <x v="1"/>
    <s v="Paused"/>
    <x v="38"/>
    <x v="2"/>
    <x v="0"/>
    <s v="Paused"/>
    <s v="paused; ad group paused; campaign paused"/>
    <n v="0"/>
    <s v="CAD"/>
    <n v="0"/>
    <n v="0"/>
    <n v="0"/>
    <n v="0"/>
    <s v=" --"/>
    <n v="0"/>
    <s v=" --"/>
    <n v="0"/>
  </r>
  <r>
    <x v="1"/>
    <s v="Enabled"/>
    <x v="8"/>
    <x v="0"/>
    <x v="0"/>
    <s v="Not eligible"/>
    <s v="ad group paused; campaign paused"/>
    <n v="0"/>
    <s v="CAD"/>
    <n v="0"/>
    <n v="0"/>
    <n v="0"/>
    <n v="0"/>
    <s v=" --"/>
    <n v="0"/>
    <s v=" --"/>
    <n v="0"/>
  </r>
  <r>
    <x v="1"/>
    <s v="Paused"/>
    <x v="43"/>
    <x v="2"/>
    <x v="0"/>
    <s v="Paused"/>
    <s v="paused; ad group paused; campaign paused"/>
    <n v="0"/>
    <s v="CAD"/>
    <n v="0"/>
    <n v="0"/>
    <n v="0"/>
    <n v="0"/>
    <s v=" --"/>
    <n v="0"/>
    <s v=" --"/>
    <n v="0"/>
  </r>
  <r>
    <x v="1"/>
    <s v="Paused"/>
    <x v="26"/>
    <x v="1"/>
    <x v="0"/>
    <s v="Paused"/>
    <s v="paused; ad group paused; campaign paused"/>
    <n v="0"/>
    <s v="CAD"/>
    <n v="0"/>
    <n v="0"/>
    <n v="0"/>
    <n v="0"/>
    <s v=" --"/>
    <n v="0"/>
    <s v=" --"/>
    <n v="0"/>
  </r>
  <r>
    <x v="1"/>
    <s v="Enabled"/>
    <x v="37"/>
    <x v="1"/>
    <x v="0"/>
    <s v="Not eligible"/>
    <s v="rarely served; ad group paused; campaign paused"/>
    <n v="0"/>
    <s v="CAD"/>
    <n v="0"/>
    <n v="0"/>
    <n v="0"/>
    <n v="0"/>
    <s v=" --"/>
    <n v="0"/>
    <s v=" --"/>
    <n v="0"/>
  </r>
  <r>
    <x v="1"/>
    <s v="Enabled"/>
    <x v="7"/>
    <x v="1"/>
    <x v="0"/>
    <s v="Not eligible"/>
    <s v="ad group paused; campaign paused"/>
    <n v="0"/>
    <s v="CAD"/>
    <n v="0"/>
    <n v="0"/>
    <n v="0"/>
    <n v="0"/>
    <s v=" --"/>
    <n v="0"/>
    <s v=" --"/>
    <n v="0"/>
  </r>
  <r>
    <x v="1"/>
    <s v="Enabled"/>
    <x v="44"/>
    <x v="2"/>
    <x v="0"/>
    <s v="Not eligible"/>
    <s v="ad group paused; campaign paused"/>
    <n v="0"/>
    <s v="CAD"/>
    <n v="0"/>
    <n v="0"/>
    <n v="0"/>
    <n v="0"/>
    <s v=" --"/>
    <n v="0"/>
    <s v=" --"/>
    <n v="0"/>
  </r>
  <r>
    <x v="1"/>
    <s v="Enabled"/>
    <x v="1"/>
    <x v="1"/>
    <x v="0"/>
    <s v="Not eligible"/>
    <s v="ad group paused; campaign paused"/>
    <n v="0"/>
    <s v="CAD"/>
    <n v="0"/>
    <n v="0"/>
    <n v="0"/>
    <n v="0"/>
    <s v=" --"/>
    <n v="0"/>
    <s v=" --"/>
    <n v="0"/>
  </r>
  <r>
    <x v="1"/>
    <s v="Enabled"/>
    <x v="46"/>
    <x v="0"/>
    <x v="0"/>
    <s v="Not eligible"/>
    <s v="ad group paused; campaign paused"/>
    <n v="0"/>
    <s v="CAD"/>
    <n v="0"/>
    <n v="0"/>
    <n v="0"/>
    <n v="0"/>
    <s v=" --"/>
    <n v="0"/>
    <s v=" --"/>
    <n v="0"/>
  </r>
  <r>
    <x v="1"/>
    <s v="Enabled"/>
    <x v="28"/>
    <x v="1"/>
    <x v="0"/>
    <s v="Not eligible"/>
    <s v="ad group paused; campaign paused"/>
    <n v="0"/>
    <s v="CAD"/>
    <n v="0"/>
    <n v="0"/>
    <n v="0"/>
    <n v="0"/>
    <s v=" --"/>
    <n v="0"/>
    <s v=" --"/>
    <n v="0"/>
  </r>
  <r>
    <x v="1"/>
    <s v="Enabled"/>
    <x v="13"/>
    <x v="0"/>
    <x v="0"/>
    <s v="Not eligible"/>
    <s v="ad group paused; campaign paused"/>
    <n v="0"/>
    <s v="CAD"/>
    <n v="0"/>
    <n v="0"/>
    <n v="0"/>
    <n v="0"/>
    <s v=" --"/>
    <n v="0"/>
    <s v=" --"/>
    <n v="0"/>
  </r>
  <r>
    <x v="1"/>
    <s v="Enabled"/>
    <x v="27"/>
    <x v="1"/>
    <x v="0"/>
    <s v="Not eligible"/>
    <s v="ad group paused; campaign paused"/>
    <n v="0"/>
    <s v="CAD"/>
    <n v="0"/>
    <n v="0"/>
    <n v="0"/>
    <n v="0"/>
    <s v=" --"/>
    <n v="0"/>
    <s v=" --"/>
    <n v="0"/>
  </r>
  <r>
    <x v="1"/>
    <s v="Enabled"/>
    <x v="25"/>
    <x v="2"/>
    <x v="0"/>
    <s v="Not eligible"/>
    <s v="rarely served; ad group paused; campaign paused"/>
    <n v="0"/>
    <s v="CAD"/>
    <n v="0"/>
    <n v="0"/>
    <n v="0"/>
    <n v="0"/>
    <s v=" --"/>
    <n v="0"/>
    <s v=" --"/>
    <n v="0"/>
  </r>
  <r>
    <x v="1"/>
    <s v="Paused"/>
    <x v="17"/>
    <x v="0"/>
    <x v="0"/>
    <s v="Paused"/>
    <s v="paused; ad group paused; campaign paused"/>
    <n v="0"/>
    <s v="CAD"/>
    <n v="0"/>
    <n v="0"/>
    <n v="0"/>
    <n v="0"/>
    <s v=" --"/>
    <n v="0"/>
    <s v=" --"/>
    <n v="0"/>
  </r>
  <r>
    <x v="1"/>
    <s v="Paused"/>
    <x v="41"/>
    <x v="1"/>
    <x v="0"/>
    <s v="Paused"/>
    <s v="paused; ad group paused; campaign paused"/>
    <n v="0"/>
    <s v="CAD"/>
    <n v="0"/>
    <n v="0"/>
    <n v="0"/>
    <n v="0"/>
    <s v=" --"/>
    <n v="0"/>
    <s v=" --"/>
    <n v="0"/>
  </r>
  <r>
    <x v="1"/>
    <s v="Enabled"/>
    <x v="11"/>
    <x v="2"/>
    <x v="0"/>
    <s v="Not eligible"/>
    <s v="ad group paused; campaign paused"/>
    <n v="0"/>
    <s v="CAD"/>
    <n v="0"/>
    <n v="0"/>
    <n v="0"/>
    <n v="0"/>
    <s v=" --"/>
    <n v="0"/>
    <s v=" --"/>
    <n v="0"/>
  </r>
  <r>
    <x v="1"/>
    <s v="Enabled"/>
    <x v="15"/>
    <x v="0"/>
    <x v="0"/>
    <s v="Not eligible"/>
    <s v="ad group paused; campaign paused"/>
    <n v="0"/>
    <s v="CAD"/>
    <n v="0"/>
    <n v="0"/>
    <n v="0"/>
    <n v="0"/>
    <s v=" --"/>
    <n v="0"/>
    <s v=" --"/>
    <n v="0"/>
  </r>
  <r>
    <x v="1"/>
    <s v="Enabled"/>
    <x v="29"/>
    <x v="2"/>
    <x v="0"/>
    <s v="Not eligible"/>
    <s v="rarely served; ad group paused; campaign paused"/>
    <n v="0"/>
    <s v="CAD"/>
    <n v="0"/>
    <n v="0"/>
    <n v="0"/>
    <n v="0"/>
    <s v=" --"/>
    <n v="0"/>
    <s v=" --"/>
    <n v="0"/>
  </r>
  <r>
    <x v="1"/>
    <s v="Enabled"/>
    <x v="39"/>
    <x v="1"/>
    <x v="0"/>
    <s v="Not eligible"/>
    <s v="ad group paused; campaign paused"/>
    <n v="0"/>
    <s v="CAD"/>
    <n v="0"/>
    <n v="0"/>
    <n v="0"/>
    <n v="0"/>
    <s v=" --"/>
    <n v="0"/>
    <s v=" --"/>
    <n v="0"/>
  </r>
  <r>
    <x v="1"/>
    <s v="Enabled"/>
    <x v="31"/>
    <x v="2"/>
    <x v="0"/>
    <s v="Not eligible"/>
    <s v="ad group paused; campaign paused"/>
    <n v="0"/>
    <s v="CAD"/>
    <n v="0"/>
    <n v="0"/>
    <n v="0"/>
    <n v="0"/>
    <s v=" --"/>
    <n v="0"/>
    <s v=" --"/>
    <n v="0"/>
  </r>
  <r>
    <x v="1"/>
    <s v="Enabled"/>
    <x v="9"/>
    <x v="2"/>
    <x v="0"/>
    <s v="Not eligible"/>
    <s v="rarely served; ad group paused; campaign paused"/>
    <n v="0"/>
    <s v="CAD"/>
    <n v="0"/>
    <n v="0"/>
    <n v="0"/>
    <n v="0"/>
    <s v=" --"/>
    <n v="0"/>
    <s v=" --"/>
    <n v="0"/>
  </r>
  <r>
    <x v="1"/>
    <s v="Enabled"/>
    <x v="5"/>
    <x v="2"/>
    <x v="0"/>
    <s v="Not eligible"/>
    <s v="ad group paused; campaign paused"/>
    <n v="0"/>
    <s v="CAD"/>
    <n v="0"/>
    <n v="0"/>
    <n v="0"/>
    <n v="0"/>
    <s v=" --"/>
    <n v="0"/>
    <s v=" --"/>
    <n v="0"/>
  </r>
  <r>
    <x v="1"/>
    <s v="Enabled"/>
    <x v="47"/>
    <x v="1"/>
    <x v="0"/>
    <s v="Not eligible"/>
    <s v="ad group paused; campaign paused"/>
    <n v="0"/>
    <s v="CAD"/>
    <n v="0"/>
    <n v="0"/>
    <n v="0"/>
    <n v="0"/>
    <s v=" --"/>
    <n v="0"/>
    <s v=" --"/>
    <n v="0"/>
  </r>
  <r>
    <x v="1"/>
    <s v="Enabled"/>
    <x v="30"/>
    <x v="0"/>
    <x v="0"/>
    <s v="Not eligible"/>
    <s v="ad group paused; campaign paused"/>
    <n v="0"/>
    <s v="CAD"/>
    <n v="0"/>
    <n v="0"/>
    <n v="0"/>
    <n v="0"/>
    <s v=" --"/>
    <n v="0"/>
    <s v=" --"/>
    <n v="0"/>
  </r>
  <r>
    <x v="1"/>
    <s v="Enabled"/>
    <x v="2"/>
    <x v="2"/>
    <x v="0"/>
    <s v="Not eligible"/>
    <s v="ad group paused; campaign paused"/>
    <n v="0"/>
    <s v="CAD"/>
    <n v="0"/>
    <n v="0"/>
    <n v="0"/>
    <n v="0"/>
    <s v=" --"/>
    <n v="0"/>
    <s v=" --"/>
    <n v="0"/>
  </r>
  <r>
    <x v="1"/>
    <s v="Enabled"/>
    <x v="24"/>
    <x v="0"/>
    <x v="0"/>
    <s v="Not eligible"/>
    <s v="rarely served; ad group paused; campaign paused"/>
    <n v="0"/>
    <s v="CAD"/>
    <n v="0"/>
    <n v="0"/>
    <n v="0"/>
    <n v="0"/>
    <s v=" --"/>
    <n v="0"/>
    <s v=" --"/>
    <n v="0"/>
  </r>
  <r>
    <x v="1"/>
    <s v="Enabled"/>
    <x v="22"/>
    <x v="1"/>
    <x v="0"/>
    <s v="Not eligible"/>
    <s v="ad group paused; campaign paused"/>
    <n v="0"/>
    <s v="CAD"/>
    <n v="0"/>
    <n v="0"/>
    <n v="0"/>
    <n v="0"/>
    <s v=" --"/>
    <n v="0"/>
    <s v=" --"/>
    <n v="0"/>
  </r>
  <r>
    <x v="1"/>
    <s v="Paused"/>
    <x v="20"/>
    <x v="0"/>
    <x v="0"/>
    <s v="Paused"/>
    <s v="paused; ad group paused; campaign paused"/>
    <n v="0"/>
    <s v="CAD"/>
    <n v="0"/>
    <n v="0"/>
    <n v="0"/>
    <n v="0"/>
    <s v=" --"/>
    <n v="0"/>
    <s v=" --"/>
    <n v="0"/>
  </r>
  <r>
    <x v="1"/>
    <s v="Enabled"/>
    <x v="21"/>
    <x v="2"/>
    <x v="0"/>
    <s v="Not eligible"/>
    <s v="ad group paused; campaign paused"/>
    <n v="0"/>
    <s v="CAD"/>
    <n v="0"/>
    <n v="0"/>
    <n v="0"/>
    <n v="0"/>
    <s v=" --"/>
    <n v="0"/>
    <s v=" --"/>
    <n v="0"/>
  </r>
  <r>
    <x v="1"/>
    <s v="Paused"/>
    <x v="18"/>
    <x v="2"/>
    <x v="0"/>
    <s v="Paused"/>
    <s v="paused; ad group paused; campaign paused"/>
    <n v="0"/>
    <s v="CAD"/>
    <n v="0"/>
    <n v="0"/>
    <n v="0"/>
    <n v="0"/>
    <s v=" --"/>
    <n v="0"/>
    <s v=" --"/>
    <n v="0"/>
  </r>
  <r>
    <x v="1"/>
    <s v="Enabled"/>
    <x v="40"/>
    <x v="0"/>
    <x v="0"/>
    <s v="Not eligible"/>
    <s v="ad group paused; campaign paused"/>
    <n v="0"/>
    <s v="CAD"/>
    <n v="0"/>
    <n v="0"/>
    <n v="0"/>
    <n v="0"/>
    <s v=" --"/>
    <n v="0"/>
    <s v=" --"/>
    <n v="0"/>
  </r>
  <r>
    <x v="1"/>
    <s v="Enabled"/>
    <x v="6"/>
    <x v="0"/>
    <x v="0"/>
    <s v="Not eligible"/>
    <s v="ad group paused; campaign paused"/>
    <n v="0"/>
    <s v="CAD"/>
    <n v="0"/>
    <n v="0"/>
    <n v="0"/>
    <n v="0"/>
    <s v=" --"/>
    <n v="0"/>
    <s v=" --"/>
    <n v="0"/>
  </r>
  <r>
    <x v="1"/>
    <s v="Enabled"/>
    <x v="23"/>
    <x v="0"/>
    <x v="0"/>
    <s v="Not eligible"/>
    <s v="ad group paused; campaign paused"/>
    <n v="0"/>
    <s v="CAD"/>
    <n v="0"/>
    <n v="0"/>
    <n v="0"/>
    <n v="0"/>
    <s v=" --"/>
    <n v="0"/>
    <s v=" --"/>
    <n v="0"/>
  </r>
  <r>
    <x v="1"/>
    <s v="Enabled"/>
    <x v="12"/>
    <x v="0"/>
    <x v="0"/>
    <s v="Not eligible"/>
    <s v="ad group paused; campaign paused"/>
    <n v="0"/>
    <s v="CAD"/>
    <n v="0"/>
    <n v="0"/>
    <n v="0"/>
    <n v="0"/>
    <s v=" --"/>
    <n v="0"/>
    <s v=" --"/>
    <n v="0"/>
  </r>
  <r>
    <x v="1"/>
    <s v="Enabled"/>
    <x v="3"/>
    <x v="0"/>
    <x v="0"/>
    <s v="Not eligible"/>
    <s v="ad group paused; campaign paused"/>
    <n v="0"/>
    <s v="CAD"/>
    <n v="0"/>
    <n v="0"/>
    <n v="0"/>
    <n v="0"/>
    <s v=" --"/>
    <n v="0"/>
    <s v=" --"/>
    <n v="0"/>
  </r>
  <r>
    <x v="1"/>
    <s v="Paused"/>
    <x v="14"/>
    <x v="2"/>
    <x v="0"/>
    <s v="Paused"/>
    <s v="paused; ad group paused; campaign paused"/>
    <n v="0"/>
    <s v="CAD"/>
    <n v="0"/>
    <n v="0"/>
    <n v="0"/>
    <n v="0"/>
    <s v=" --"/>
    <n v="0"/>
    <s v=" --"/>
    <n v="0"/>
  </r>
  <r>
    <x v="1"/>
    <s v="Enabled"/>
    <x v="19"/>
    <x v="2"/>
    <x v="0"/>
    <s v="Not eligible"/>
    <s v="ad group paused; campaign paused"/>
    <n v="0"/>
    <s v="CAD"/>
    <n v="0"/>
    <n v="0"/>
    <n v="0"/>
    <n v="0"/>
    <s v=" --"/>
    <n v="0"/>
    <s v=" --"/>
    <n v="0"/>
  </r>
  <r>
    <x v="1"/>
    <s v="Enabled"/>
    <x v="42"/>
    <x v="2"/>
    <x v="0"/>
    <s v="Not eligible"/>
    <s v="ad group paused; campaign paused"/>
    <n v="0"/>
    <s v="CAD"/>
    <n v="0"/>
    <n v="0"/>
    <n v="0"/>
    <n v="0"/>
    <s v=" --"/>
    <n v="0"/>
    <s v=" --"/>
    <n v="0"/>
  </r>
  <r>
    <x v="1"/>
    <s v="Enabled"/>
    <x v="45"/>
    <x v="0"/>
    <x v="0"/>
    <s v="Not eligible"/>
    <s v="ad group paused; campaign paused"/>
    <n v="0"/>
    <s v="CAD"/>
    <n v="0"/>
    <n v="0"/>
    <n v="0"/>
    <n v="0"/>
    <s v=" --"/>
    <n v="0"/>
    <s v=" --"/>
    <n v="0"/>
  </r>
  <r>
    <x v="1"/>
    <s v="Enabled"/>
    <x v="4"/>
    <x v="1"/>
    <x v="0"/>
    <s v="Not eligible"/>
    <s v="rarely served; ad group paused; campaign paused"/>
    <n v="0"/>
    <s v="CAD"/>
    <n v="0"/>
    <n v="0"/>
    <n v="0"/>
    <n v="0"/>
    <s v=" --"/>
    <n v="0"/>
    <s v=" --"/>
    <n v="0"/>
  </r>
  <r>
    <x v="1"/>
    <s v="Enabled"/>
    <x v="36"/>
    <x v="1"/>
    <x v="0"/>
    <s v="Not eligible"/>
    <s v="ad group paused; campaign paused"/>
    <n v="0"/>
    <s v="CAD"/>
    <n v="0"/>
    <n v="0"/>
    <n v="0"/>
    <n v="0"/>
    <s v=" --"/>
    <n v="0"/>
    <s v=" --"/>
    <n v="0"/>
  </r>
  <r>
    <x v="1"/>
    <s v="Enabled"/>
    <x v="267"/>
    <x v="1"/>
    <x v="4"/>
    <s v="Not eligible"/>
    <s v="campaign paused"/>
    <n v="0"/>
    <s v="CAD"/>
    <n v="0"/>
    <n v="0"/>
    <n v="0"/>
    <n v="1"/>
    <n v="0"/>
    <n v="0"/>
    <s v=" --"/>
    <n v="0"/>
  </r>
  <r>
    <x v="1"/>
    <s v="Enabled"/>
    <x v="279"/>
    <x v="0"/>
    <x v="4"/>
    <s v="Not eligible"/>
    <s v="campaign paused"/>
    <n v="0"/>
    <s v="CAD"/>
    <n v="0"/>
    <n v="0"/>
    <n v="0"/>
    <n v="23"/>
    <n v="0"/>
    <n v="0"/>
    <n v="5"/>
    <n v="0"/>
  </r>
  <r>
    <x v="1"/>
    <s v="Enabled"/>
    <x v="280"/>
    <x v="2"/>
    <x v="4"/>
    <s v="Not eligible"/>
    <s v="campaign paused"/>
    <n v="0"/>
    <s v="CAD"/>
    <n v="0"/>
    <n v="0"/>
    <n v="0"/>
    <n v="3"/>
    <n v="0"/>
    <n v="0"/>
    <s v=" --"/>
    <n v="0"/>
  </r>
  <r>
    <x v="1"/>
    <s v="Enabled"/>
    <x v="262"/>
    <x v="1"/>
    <x v="4"/>
    <s v="Not eligible"/>
    <s v="campaign paused"/>
    <n v="0"/>
    <s v="CAD"/>
    <n v="0"/>
    <n v="0"/>
    <n v="0"/>
    <n v="0"/>
    <s v=" --"/>
    <n v="0"/>
    <s v=" --"/>
    <n v="0"/>
  </r>
  <r>
    <x v="1"/>
    <s v="Enabled"/>
    <x v="259"/>
    <x v="0"/>
    <x v="4"/>
    <s v="Not eligible"/>
    <s v="campaign paused"/>
    <n v="0"/>
    <s v="CAD"/>
    <n v="0"/>
    <n v="0"/>
    <n v="0"/>
    <n v="0"/>
    <s v=" --"/>
    <n v="0"/>
    <s v=" --"/>
    <n v="0"/>
  </r>
  <r>
    <x v="1"/>
    <s v="Enabled"/>
    <x v="274"/>
    <x v="1"/>
    <x v="4"/>
    <s v="Not eligible"/>
    <s v="campaign paused"/>
    <n v="0"/>
    <s v="CAD"/>
    <n v="0"/>
    <n v="0"/>
    <n v="0"/>
    <n v="0"/>
    <s v=" --"/>
    <n v="0"/>
    <s v=" --"/>
    <n v="0"/>
  </r>
  <r>
    <x v="1"/>
    <s v="Enabled"/>
    <x v="272"/>
    <x v="2"/>
    <x v="4"/>
    <s v="Not eligible"/>
    <s v="campaign paused"/>
    <n v="0"/>
    <s v="CAD"/>
    <n v="0"/>
    <n v="0"/>
    <n v="0"/>
    <n v="0"/>
    <s v=" --"/>
    <n v="0"/>
    <s v=" --"/>
    <n v="0"/>
  </r>
  <r>
    <x v="1"/>
    <s v="Enabled"/>
    <x v="270"/>
    <x v="0"/>
    <x v="4"/>
    <s v="Not eligible"/>
    <s v="campaign paused"/>
    <n v="0"/>
    <s v="CAD"/>
    <n v="0"/>
    <n v="0"/>
    <n v="0"/>
    <n v="2"/>
    <n v="0"/>
    <n v="0"/>
    <s v=" --"/>
    <n v="0"/>
  </r>
  <r>
    <x v="1"/>
    <s v="Enabled"/>
    <x v="263"/>
    <x v="0"/>
    <x v="4"/>
    <s v="Not eligible"/>
    <s v="campaign paused"/>
    <n v="0"/>
    <s v="CAD"/>
    <n v="0"/>
    <n v="0"/>
    <n v="0"/>
    <n v="0"/>
    <s v=" --"/>
    <n v="0"/>
    <s v=" --"/>
    <n v="0"/>
  </r>
  <r>
    <x v="1"/>
    <s v="Enabled"/>
    <x v="269"/>
    <x v="2"/>
    <x v="4"/>
    <s v="Not eligible"/>
    <s v="campaign paused"/>
    <n v="0"/>
    <s v="CAD"/>
    <n v="0"/>
    <n v="0"/>
    <n v="0"/>
    <n v="0"/>
    <s v=" --"/>
    <n v="0"/>
    <s v=" --"/>
    <n v="0"/>
  </r>
  <r>
    <x v="1"/>
    <s v="Enabled"/>
    <x v="271"/>
    <x v="2"/>
    <x v="4"/>
    <s v="Not eligible"/>
    <s v="campaign paused"/>
    <n v="0"/>
    <s v="CAD"/>
    <n v="0"/>
    <n v="0"/>
    <n v="0"/>
    <n v="2"/>
    <n v="0"/>
    <n v="0"/>
    <s v=" --"/>
    <n v="0"/>
  </r>
  <r>
    <x v="1"/>
    <s v="Enabled"/>
    <x v="275"/>
    <x v="0"/>
    <x v="4"/>
    <s v="Not eligible"/>
    <s v="campaign paused"/>
    <n v="0"/>
    <s v="CAD"/>
    <n v="0"/>
    <n v="0"/>
    <n v="0"/>
    <n v="0"/>
    <s v=" --"/>
    <n v="0"/>
    <s v=" --"/>
    <n v="0"/>
  </r>
  <r>
    <x v="1"/>
    <s v="Enabled"/>
    <x v="276"/>
    <x v="0"/>
    <x v="4"/>
    <s v="Not eligible"/>
    <s v="campaign paused"/>
    <n v="0"/>
    <s v="CAD"/>
    <n v="0"/>
    <n v="0"/>
    <n v="0"/>
    <n v="0"/>
    <s v=" --"/>
    <n v="0"/>
    <s v=" --"/>
    <n v="0"/>
  </r>
  <r>
    <x v="1"/>
    <s v="Enabled"/>
    <x v="277"/>
    <x v="2"/>
    <x v="4"/>
    <s v="Not eligible"/>
    <s v="campaign paused"/>
    <n v="0"/>
    <s v="CAD"/>
    <n v="0"/>
    <n v="0"/>
    <n v="0"/>
    <n v="0"/>
    <s v=" --"/>
    <n v="0"/>
    <s v=" --"/>
    <n v="0"/>
  </r>
  <r>
    <x v="1"/>
    <s v="Enabled"/>
    <x v="268"/>
    <x v="1"/>
    <x v="4"/>
    <s v="Not eligible"/>
    <s v="campaign paused"/>
    <n v="0"/>
    <s v="CAD"/>
    <n v="0"/>
    <n v="0"/>
    <n v="0"/>
    <n v="0"/>
    <s v=" --"/>
    <n v="0"/>
    <s v=" --"/>
    <n v="0"/>
  </r>
  <r>
    <x v="1"/>
    <s v="Enabled"/>
    <x v="264"/>
    <x v="0"/>
    <x v="4"/>
    <s v="Not eligible"/>
    <s v="campaign paused"/>
    <n v="0"/>
    <s v="CAD"/>
    <n v="0"/>
    <n v="0"/>
    <n v="0"/>
    <n v="0"/>
    <s v=" --"/>
    <n v="0"/>
    <s v=" --"/>
    <n v="0"/>
  </r>
  <r>
    <x v="1"/>
    <s v="Enabled"/>
    <x v="265"/>
    <x v="1"/>
    <x v="4"/>
    <s v="Not eligible"/>
    <s v="campaign paused"/>
    <n v="0"/>
    <s v="CAD"/>
    <n v="0"/>
    <n v="0"/>
    <n v="0"/>
    <n v="0"/>
    <s v=" --"/>
    <n v="0"/>
    <s v=" --"/>
    <n v="0"/>
  </r>
  <r>
    <x v="1"/>
    <s v="Enabled"/>
    <x v="260"/>
    <x v="2"/>
    <x v="4"/>
    <s v="Not eligible"/>
    <s v="campaign paused"/>
    <n v="0"/>
    <s v="CAD"/>
    <n v="0"/>
    <n v="0"/>
    <n v="0"/>
    <n v="2"/>
    <n v="0"/>
    <n v="0"/>
    <s v=" --"/>
    <n v="0"/>
  </r>
  <r>
    <x v="1"/>
    <s v="Enabled"/>
    <x v="278"/>
    <x v="2"/>
    <x v="4"/>
    <s v="Not eligible"/>
    <s v="campaign paused"/>
    <n v="0"/>
    <s v="CAD"/>
    <n v="0"/>
    <n v="0"/>
    <n v="0"/>
    <n v="0"/>
    <s v=" --"/>
    <n v="0"/>
    <s v=" --"/>
    <n v="0"/>
  </r>
  <r>
    <x v="1"/>
    <s v="Enabled"/>
    <x v="273"/>
    <x v="0"/>
    <x v="4"/>
    <s v="Not eligible"/>
    <s v="campaign paused"/>
    <n v="0"/>
    <s v="CAD"/>
    <n v="0"/>
    <n v="12"/>
    <n v="45.52"/>
    <n v="176"/>
    <n v="6.8199999999999997E-2"/>
    <n v="3.79"/>
    <n v="5"/>
    <n v="0"/>
  </r>
  <r>
    <x v="1"/>
    <s v="Enabled"/>
    <x v="281"/>
    <x v="0"/>
    <x v="4"/>
    <s v="Not eligible"/>
    <s v="campaign paused"/>
    <n v="0"/>
    <s v="CAD"/>
    <n v="0"/>
    <n v="0"/>
    <n v="0"/>
    <n v="0"/>
    <s v=" --"/>
    <n v="0"/>
    <s v=" --"/>
    <n v="0"/>
  </r>
  <r>
    <x v="1"/>
    <s v="Enabled"/>
    <x v="266"/>
    <x v="1"/>
    <x v="4"/>
    <s v="Not eligible"/>
    <s v="campaign paused"/>
    <n v="0"/>
    <s v="CAD"/>
    <n v="0"/>
    <n v="0"/>
    <n v="0"/>
    <n v="0"/>
    <s v=" --"/>
    <n v="0"/>
    <s v=" --"/>
    <n v="0"/>
  </r>
  <r>
    <x v="1"/>
    <s v="Enabled"/>
    <x v="261"/>
    <x v="1"/>
    <x v="4"/>
    <s v="Not eligible"/>
    <s v="campaign paused"/>
    <n v="0"/>
    <s v="CAD"/>
    <n v="0"/>
    <n v="0"/>
    <n v="0"/>
    <n v="0"/>
    <s v=" --"/>
    <n v="0"/>
    <s v=" --"/>
    <n v="0"/>
  </r>
  <r>
    <x v="1"/>
    <s v="Enabled"/>
    <x v="77"/>
    <x v="0"/>
    <x v="1"/>
    <s v="Not eligible"/>
    <s v="campaign paused"/>
    <n v="0"/>
    <s v="CAD"/>
    <n v="0"/>
    <n v="0"/>
    <n v="0"/>
    <n v="2"/>
    <n v="0"/>
    <n v="0"/>
    <s v=" --"/>
    <n v="0"/>
  </r>
  <r>
    <x v="1"/>
    <s v="Enabled"/>
    <x v="238"/>
    <x v="1"/>
    <x v="1"/>
    <s v="Not eligible"/>
    <s v="campaign paused"/>
    <n v="0"/>
    <s v="CAD"/>
    <n v="0"/>
    <n v="0"/>
    <n v="0"/>
    <n v="0"/>
    <s v=" --"/>
    <n v="0"/>
    <s v=" --"/>
    <n v="0"/>
  </r>
  <r>
    <x v="1"/>
    <s v="Enabled"/>
    <x v="70"/>
    <x v="0"/>
    <x v="1"/>
    <s v="Not eligible"/>
    <s v="campaign paused"/>
    <n v="0"/>
    <s v="CAD"/>
    <n v="0"/>
    <n v="0"/>
    <n v="0"/>
    <n v="0"/>
    <s v=" --"/>
    <n v="0"/>
    <s v=" --"/>
    <n v="0"/>
  </r>
  <r>
    <x v="1"/>
    <s v="Enabled"/>
    <x v="217"/>
    <x v="0"/>
    <x v="1"/>
    <s v="Not eligible"/>
    <s v="campaign paused"/>
    <n v="0"/>
    <s v="CAD"/>
    <n v="0"/>
    <n v="0"/>
    <n v="0"/>
    <n v="0"/>
    <s v=" --"/>
    <n v="0"/>
    <s v=" --"/>
    <n v="0"/>
  </r>
  <r>
    <x v="1"/>
    <s v="Enabled"/>
    <x v="136"/>
    <x v="0"/>
    <x v="1"/>
    <s v="Not eligible"/>
    <s v="campaign paused"/>
    <n v="0"/>
    <s v="CAD"/>
    <n v="0"/>
    <n v="0"/>
    <n v="0"/>
    <n v="0"/>
    <s v=" --"/>
    <n v="0"/>
    <s v=" --"/>
    <n v="0"/>
  </r>
  <r>
    <x v="1"/>
    <s v="Enabled"/>
    <x v="133"/>
    <x v="0"/>
    <x v="1"/>
    <s v="Not eligible"/>
    <s v="campaign paused"/>
    <n v="0"/>
    <s v="CAD"/>
    <n v="0"/>
    <n v="0"/>
    <n v="0"/>
    <n v="0"/>
    <s v=" --"/>
    <n v="0"/>
    <s v=" --"/>
    <n v="0"/>
  </r>
  <r>
    <x v="1"/>
    <s v="Enabled"/>
    <x v="61"/>
    <x v="0"/>
    <x v="1"/>
    <s v="Not eligible"/>
    <s v="campaign paused"/>
    <n v="0"/>
    <s v="CAD"/>
    <n v="0"/>
    <n v="0"/>
    <n v="0"/>
    <n v="0"/>
    <s v=" --"/>
    <n v="0"/>
    <s v=" --"/>
    <n v="0"/>
  </r>
  <r>
    <x v="1"/>
    <s v="Enabled"/>
    <x v="65"/>
    <x v="0"/>
    <x v="1"/>
    <s v="Not eligible"/>
    <s v="campaign paused"/>
    <n v="0"/>
    <s v="CAD"/>
    <n v="0"/>
    <n v="0"/>
    <n v="0"/>
    <n v="0"/>
    <s v=" --"/>
    <n v="0"/>
    <s v=" --"/>
    <n v="0"/>
  </r>
  <r>
    <x v="1"/>
    <s v="Enabled"/>
    <x v="245"/>
    <x v="0"/>
    <x v="1"/>
    <s v="Not eligible"/>
    <s v="campaign paused"/>
    <n v="0"/>
    <s v="CAD"/>
    <n v="0"/>
    <n v="0"/>
    <n v="0"/>
    <n v="0"/>
    <s v=" --"/>
    <n v="0"/>
    <s v=" --"/>
    <n v="0"/>
  </r>
  <r>
    <x v="1"/>
    <s v="Enabled"/>
    <x v="111"/>
    <x v="0"/>
    <x v="1"/>
    <s v="Not eligible"/>
    <s v="campaign paused"/>
    <n v="0"/>
    <s v="CAD"/>
    <n v="0"/>
    <n v="0"/>
    <n v="0"/>
    <n v="0"/>
    <s v=" --"/>
    <n v="0"/>
    <s v=" --"/>
    <n v="0"/>
  </r>
  <r>
    <x v="1"/>
    <s v="Enabled"/>
    <x v="85"/>
    <x v="0"/>
    <x v="1"/>
    <s v="Not eligible"/>
    <s v="campaign paused"/>
    <n v="0"/>
    <s v="CAD"/>
    <n v="0"/>
    <n v="0"/>
    <n v="0"/>
    <n v="0"/>
    <s v=" --"/>
    <n v="0"/>
    <s v=" --"/>
    <n v="0"/>
  </r>
  <r>
    <x v="1"/>
    <s v="Enabled"/>
    <x v="169"/>
    <x v="0"/>
    <x v="1"/>
    <s v="Not eligible"/>
    <s v="campaign paused"/>
    <n v="0"/>
    <s v="CAD"/>
    <n v="0"/>
    <n v="0"/>
    <n v="0"/>
    <n v="0"/>
    <s v=" --"/>
    <n v="0"/>
    <s v=" --"/>
    <n v="0"/>
  </r>
  <r>
    <x v="1"/>
    <s v="Enabled"/>
    <x v="162"/>
    <x v="0"/>
    <x v="1"/>
    <s v="Not eligible"/>
    <s v="campaign paused"/>
    <n v="0"/>
    <s v="CAD"/>
    <n v="0"/>
    <n v="0"/>
    <n v="0"/>
    <n v="0"/>
    <s v=" --"/>
    <n v="0"/>
    <s v=" --"/>
    <n v="0"/>
  </r>
  <r>
    <x v="1"/>
    <s v="Enabled"/>
    <x v="158"/>
    <x v="0"/>
    <x v="1"/>
    <s v="Not eligible"/>
    <s v="campaign paused"/>
    <n v="0"/>
    <s v="CAD"/>
    <n v="0"/>
    <n v="0"/>
    <n v="0"/>
    <n v="0"/>
    <s v=" --"/>
    <n v="0"/>
    <s v=" --"/>
    <n v="0"/>
  </r>
  <r>
    <x v="1"/>
    <s v="Enabled"/>
    <x v="112"/>
    <x v="0"/>
    <x v="1"/>
    <s v="Not eligible"/>
    <s v="campaign paused"/>
    <n v="0"/>
    <s v="CAD"/>
    <n v="0"/>
    <n v="0"/>
    <n v="0"/>
    <n v="0"/>
    <s v=" --"/>
    <n v="0"/>
    <s v=" --"/>
    <n v="0"/>
  </r>
  <r>
    <x v="1"/>
    <s v="Enabled"/>
    <x v="89"/>
    <x v="0"/>
    <x v="1"/>
    <s v="Not eligible"/>
    <s v="campaign paused"/>
    <n v="0"/>
    <s v="CAD"/>
    <n v="0"/>
    <n v="0"/>
    <n v="0"/>
    <n v="0"/>
    <s v=" --"/>
    <n v="0"/>
    <s v=" --"/>
    <n v="0"/>
  </r>
  <r>
    <x v="1"/>
    <s v="Enabled"/>
    <x v="143"/>
    <x v="0"/>
    <x v="1"/>
    <s v="Not eligible"/>
    <s v="campaign paused"/>
    <n v="0"/>
    <s v="CAD"/>
    <n v="0"/>
    <n v="0"/>
    <n v="0"/>
    <n v="0"/>
    <s v=" --"/>
    <n v="0"/>
    <s v=" --"/>
    <n v="0"/>
  </r>
  <r>
    <x v="1"/>
    <s v="Enabled"/>
    <x v="54"/>
    <x v="0"/>
    <x v="1"/>
    <s v="Not eligible"/>
    <s v="campaign paused"/>
    <n v="0"/>
    <s v="CAD"/>
    <n v="0"/>
    <n v="0"/>
    <n v="0"/>
    <n v="0"/>
    <s v=" --"/>
    <n v="0"/>
    <s v=" --"/>
    <n v="0"/>
  </r>
  <r>
    <x v="1"/>
    <s v="Enabled"/>
    <x v="282"/>
    <x v="0"/>
    <x v="1"/>
    <s v="Not eligible"/>
    <s v="campaign paused"/>
    <n v="0"/>
    <s v="CAD"/>
    <n v="0"/>
    <n v="0"/>
    <n v="0"/>
    <n v="0"/>
    <s v=" --"/>
    <n v="0"/>
    <s v=" --"/>
    <n v="0"/>
  </r>
  <r>
    <x v="1"/>
    <s v="Enabled"/>
    <x v="242"/>
    <x v="0"/>
    <x v="1"/>
    <s v="Not eligible"/>
    <s v="campaign paused"/>
    <n v="0"/>
    <s v="CAD"/>
    <n v="0"/>
    <n v="0"/>
    <n v="0"/>
    <n v="0"/>
    <s v=" --"/>
    <n v="0"/>
    <s v=" --"/>
    <n v="0"/>
  </r>
  <r>
    <x v="1"/>
    <s v="Enabled"/>
    <x v="176"/>
    <x v="0"/>
    <x v="1"/>
    <s v="Not eligible"/>
    <s v="campaign paused"/>
    <n v="0"/>
    <s v="CAD"/>
    <n v="0"/>
    <n v="0"/>
    <n v="0"/>
    <n v="0"/>
    <s v=" --"/>
    <n v="0"/>
    <s v=" --"/>
    <n v="0"/>
  </r>
  <r>
    <x v="1"/>
    <s v="Enabled"/>
    <x v="62"/>
    <x v="0"/>
    <x v="1"/>
    <s v="Not eligible"/>
    <s v="campaign paused"/>
    <n v="0"/>
    <s v="CAD"/>
    <n v="0"/>
    <n v="0"/>
    <n v="0"/>
    <n v="0"/>
    <s v=" --"/>
    <n v="0"/>
    <s v=" --"/>
    <n v="0"/>
  </r>
  <r>
    <x v="1"/>
    <s v="Enabled"/>
    <x v="72"/>
    <x v="0"/>
    <x v="1"/>
    <s v="Not eligible"/>
    <s v="campaign paused"/>
    <n v="0"/>
    <s v="CAD"/>
    <n v="0"/>
    <n v="0"/>
    <n v="0"/>
    <n v="0"/>
    <s v=" --"/>
    <n v="0"/>
    <s v=" --"/>
    <n v="0"/>
  </r>
  <r>
    <x v="1"/>
    <s v="Enabled"/>
    <x v="235"/>
    <x v="0"/>
    <x v="1"/>
    <s v="Not eligible"/>
    <s v="campaign paused"/>
    <n v="0"/>
    <s v="CAD"/>
    <n v="0"/>
    <n v="0"/>
    <n v="0"/>
    <n v="0"/>
    <s v=" --"/>
    <n v="0"/>
    <s v=" --"/>
    <n v="0"/>
  </r>
  <r>
    <x v="1"/>
    <s v="Enabled"/>
    <x v="183"/>
    <x v="0"/>
    <x v="1"/>
    <s v="Not eligible"/>
    <s v="campaign paused"/>
    <n v="0"/>
    <s v="CAD"/>
    <n v="0"/>
    <n v="0"/>
    <n v="0"/>
    <n v="0"/>
    <s v=" --"/>
    <n v="0"/>
    <s v=" --"/>
    <n v="0"/>
  </r>
  <r>
    <x v="1"/>
    <s v="Enabled"/>
    <x v="139"/>
    <x v="0"/>
    <x v="1"/>
    <s v="Not eligible"/>
    <s v="campaign paused"/>
    <n v="0"/>
    <s v="CAD"/>
    <n v="0"/>
    <n v="0"/>
    <n v="0"/>
    <n v="0"/>
    <s v=" --"/>
    <n v="0"/>
    <s v=" --"/>
    <n v="0"/>
  </r>
  <r>
    <x v="1"/>
    <s v="Enabled"/>
    <x v="190"/>
    <x v="2"/>
    <x v="1"/>
    <s v="Not eligible"/>
    <s v="campaign paused"/>
    <n v="0"/>
    <s v="CAD"/>
    <n v="0"/>
    <n v="0"/>
    <n v="0"/>
    <n v="1"/>
    <n v="0"/>
    <n v="0"/>
    <n v="8"/>
    <n v="0"/>
  </r>
  <r>
    <x v="1"/>
    <s v="Enabled"/>
    <x v="239"/>
    <x v="0"/>
    <x v="1"/>
    <s v="Not eligible"/>
    <s v="campaign paused"/>
    <n v="3"/>
    <s v="CAD"/>
    <n v="21.25"/>
    <n v="30"/>
    <n v="63.75"/>
    <n v="366"/>
    <n v="8.2000000000000003E-2"/>
    <n v="2.13"/>
    <n v="3"/>
    <n v="0.1"/>
  </r>
  <r>
    <x v="1"/>
    <s v="Enabled"/>
    <x v="81"/>
    <x v="0"/>
    <x v="1"/>
    <s v="Not eligible"/>
    <s v="campaign paused"/>
    <n v="0"/>
    <s v="CAD"/>
    <n v="0"/>
    <n v="0"/>
    <n v="0"/>
    <n v="0"/>
    <s v=" --"/>
    <n v="0"/>
    <s v=" --"/>
    <n v="0"/>
  </r>
  <r>
    <x v="1"/>
    <s v="Enabled"/>
    <x v="225"/>
    <x v="0"/>
    <x v="1"/>
    <s v="Not eligible"/>
    <s v="campaign paused"/>
    <n v="0"/>
    <s v="CAD"/>
    <n v="0"/>
    <n v="0"/>
    <n v="0"/>
    <n v="0"/>
    <s v=" --"/>
    <n v="0"/>
    <s v=" --"/>
    <n v="0"/>
  </r>
  <r>
    <x v="1"/>
    <s v="Enabled"/>
    <x v="142"/>
    <x v="0"/>
    <x v="1"/>
    <s v="Not eligible"/>
    <s v="campaign paused"/>
    <n v="0"/>
    <s v="CAD"/>
    <n v="0"/>
    <n v="0"/>
    <n v="0"/>
    <n v="0"/>
    <s v=" --"/>
    <n v="0"/>
    <s v=" --"/>
    <n v="0"/>
  </r>
  <r>
    <x v="1"/>
    <s v="Enabled"/>
    <x v="93"/>
    <x v="0"/>
    <x v="1"/>
    <s v="Not eligible"/>
    <s v="campaign paused"/>
    <n v="0"/>
    <s v="CAD"/>
    <n v="0"/>
    <n v="0"/>
    <n v="0"/>
    <n v="0"/>
    <s v=" --"/>
    <n v="0"/>
    <s v=" --"/>
    <n v="0"/>
  </r>
  <r>
    <x v="1"/>
    <s v="Enabled"/>
    <x v="64"/>
    <x v="0"/>
    <x v="1"/>
    <s v="Not eligible"/>
    <s v="campaign paused"/>
    <n v="0"/>
    <s v="CAD"/>
    <n v="0"/>
    <n v="0"/>
    <n v="0"/>
    <n v="0"/>
    <s v=" --"/>
    <n v="0"/>
    <s v=" --"/>
    <n v="0"/>
  </r>
  <r>
    <x v="1"/>
    <s v="Enabled"/>
    <x v="199"/>
    <x v="0"/>
    <x v="1"/>
    <s v="Not eligible"/>
    <s v="campaign paused"/>
    <n v="1"/>
    <s v="CAD"/>
    <n v="12.5"/>
    <n v="4"/>
    <n v="12.5"/>
    <n v="116"/>
    <n v="3.4500000000000003E-2"/>
    <n v="3.13"/>
    <s v=" --"/>
    <n v="0.25"/>
  </r>
  <r>
    <x v="1"/>
    <s v="Enabled"/>
    <x v="73"/>
    <x v="0"/>
    <x v="1"/>
    <s v="Not eligible"/>
    <s v="campaign paused"/>
    <n v="0"/>
    <s v="CAD"/>
    <n v="0"/>
    <n v="0"/>
    <n v="0"/>
    <n v="0"/>
    <s v=" --"/>
    <n v="0"/>
    <s v=" --"/>
    <n v="0"/>
  </r>
  <r>
    <x v="1"/>
    <s v="Enabled"/>
    <x v="78"/>
    <x v="0"/>
    <x v="1"/>
    <s v="Not eligible"/>
    <s v="campaign paused"/>
    <n v="0"/>
    <s v="CAD"/>
    <n v="0"/>
    <n v="0"/>
    <n v="0"/>
    <n v="0"/>
    <s v=" --"/>
    <n v="0"/>
    <s v=" --"/>
    <n v="0"/>
  </r>
  <r>
    <x v="1"/>
    <s v="Enabled"/>
    <x v="161"/>
    <x v="0"/>
    <x v="1"/>
    <s v="Not eligible"/>
    <s v="campaign paused"/>
    <n v="0"/>
    <s v="CAD"/>
    <n v="0"/>
    <n v="0"/>
    <n v="0"/>
    <n v="0"/>
    <s v=" --"/>
    <n v="0"/>
    <s v=" --"/>
    <n v="0"/>
  </r>
  <r>
    <x v="1"/>
    <s v="Enabled"/>
    <x v="75"/>
    <x v="0"/>
    <x v="1"/>
    <s v="Not eligible"/>
    <s v="campaign paused"/>
    <n v="0"/>
    <s v="CAD"/>
    <n v="0"/>
    <n v="0"/>
    <n v="0"/>
    <n v="0"/>
    <s v=" --"/>
    <n v="0"/>
    <s v=" --"/>
    <n v="0"/>
  </r>
  <r>
    <x v="1"/>
    <s v="Enabled"/>
    <x v="92"/>
    <x v="0"/>
    <x v="1"/>
    <s v="Not eligible"/>
    <s v="campaign paused"/>
    <n v="0"/>
    <s v="CAD"/>
    <n v="0"/>
    <n v="0"/>
    <n v="0"/>
    <n v="0"/>
    <s v=" --"/>
    <n v="0"/>
    <s v=" --"/>
    <n v="0"/>
  </r>
  <r>
    <x v="1"/>
    <s v="Enabled"/>
    <x v="67"/>
    <x v="0"/>
    <x v="1"/>
    <s v="Not eligible"/>
    <s v="campaign paused"/>
    <n v="0"/>
    <s v="CAD"/>
    <n v="0"/>
    <n v="0"/>
    <n v="0"/>
    <n v="0"/>
    <s v=" --"/>
    <n v="0"/>
    <s v=" --"/>
    <n v="0"/>
  </r>
  <r>
    <x v="1"/>
    <s v="Enabled"/>
    <x v="129"/>
    <x v="0"/>
    <x v="1"/>
    <s v="Not eligible"/>
    <s v="campaign paused"/>
    <n v="0"/>
    <s v="CAD"/>
    <n v="0"/>
    <n v="0"/>
    <n v="0"/>
    <n v="0"/>
    <s v=" --"/>
    <n v="0"/>
    <s v=" --"/>
    <n v="0"/>
  </r>
  <r>
    <x v="1"/>
    <s v="Enabled"/>
    <x v="116"/>
    <x v="0"/>
    <x v="1"/>
    <s v="Not eligible"/>
    <s v="campaign paused"/>
    <n v="0"/>
    <s v="CAD"/>
    <n v="0"/>
    <n v="0"/>
    <n v="0"/>
    <n v="0"/>
    <s v=" --"/>
    <n v="0"/>
    <s v=" --"/>
    <n v="0"/>
  </r>
  <r>
    <x v="1"/>
    <s v="Enabled"/>
    <x v="170"/>
    <x v="0"/>
    <x v="1"/>
    <s v="Not eligible"/>
    <s v="campaign paused"/>
    <n v="0"/>
    <s v="CAD"/>
    <n v="0"/>
    <n v="2"/>
    <n v="3.87"/>
    <n v="2"/>
    <n v="1"/>
    <n v="1.94"/>
    <s v=" --"/>
    <n v="0"/>
  </r>
  <r>
    <x v="1"/>
    <s v="Enabled"/>
    <x v="209"/>
    <x v="0"/>
    <x v="1"/>
    <s v="Not eligible"/>
    <s v="campaign paused"/>
    <n v="0"/>
    <s v="CAD"/>
    <n v="0"/>
    <n v="0"/>
    <n v="0"/>
    <n v="0"/>
    <s v=" --"/>
    <n v="0"/>
    <s v=" --"/>
    <n v="0"/>
  </r>
  <r>
    <x v="1"/>
    <s v="Enabled"/>
    <x v="196"/>
    <x v="0"/>
    <x v="1"/>
    <s v="Not eligible"/>
    <s v="campaign paused"/>
    <n v="0"/>
    <s v="CAD"/>
    <n v="0"/>
    <n v="0"/>
    <n v="0"/>
    <n v="0"/>
    <s v=" --"/>
    <n v="0"/>
    <s v=" --"/>
    <n v="0"/>
  </r>
  <r>
    <x v="1"/>
    <s v="Enabled"/>
    <x v="98"/>
    <x v="0"/>
    <x v="1"/>
    <s v="Not eligible"/>
    <s v="campaign paused"/>
    <n v="0"/>
    <s v="CAD"/>
    <n v="0"/>
    <n v="0"/>
    <n v="0"/>
    <n v="0"/>
    <s v=" --"/>
    <n v="0"/>
    <s v=" --"/>
    <n v="0"/>
  </r>
  <r>
    <x v="1"/>
    <s v="Enabled"/>
    <x v="165"/>
    <x v="0"/>
    <x v="1"/>
    <s v="Not eligible"/>
    <s v="campaign paused"/>
    <n v="0"/>
    <s v="CAD"/>
    <n v="0"/>
    <n v="0"/>
    <n v="0"/>
    <n v="0"/>
    <s v=" --"/>
    <n v="0"/>
    <s v=" --"/>
    <n v="0"/>
  </r>
  <r>
    <x v="1"/>
    <s v="Enabled"/>
    <x v="109"/>
    <x v="0"/>
    <x v="1"/>
    <s v="Not eligible"/>
    <s v="campaign paused"/>
    <n v="0"/>
    <s v="CAD"/>
    <n v="0"/>
    <n v="0"/>
    <n v="0"/>
    <n v="0"/>
    <s v=" --"/>
    <n v="0"/>
    <s v=" --"/>
    <n v="0"/>
  </r>
  <r>
    <x v="1"/>
    <s v="Enabled"/>
    <x v="110"/>
    <x v="0"/>
    <x v="1"/>
    <s v="Not eligible"/>
    <s v="campaign paused"/>
    <n v="0"/>
    <s v="CAD"/>
    <n v="0"/>
    <n v="0"/>
    <n v="0"/>
    <n v="0"/>
    <s v=" --"/>
    <n v="0"/>
    <s v=" --"/>
    <n v="0"/>
  </r>
  <r>
    <x v="1"/>
    <s v="Enabled"/>
    <x v="126"/>
    <x v="0"/>
    <x v="1"/>
    <s v="Not eligible"/>
    <s v="campaign paused"/>
    <n v="0"/>
    <s v="CAD"/>
    <n v="0"/>
    <n v="0"/>
    <n v="0"/>
    <n v="0"/>
    <s v=" --"/>
    <n v="0"/>
    <s v=" --"/>
    <n v="0"/>
  </r>
  <r>
    <x v="1"/>
    <s v="Enabled"/>
    <x v="95"/>
    <x v="1"/>
    <x v="1"/>
    <s v="Not eligible"/>
    <s v="campaign paused"/>
    <n v="0"/>
    <s v="CAD"/>
    <n v="0"/>
    <n v="0"/>
    <n v="0"/>
    <n v="0"/>
    <s v=" --"/>
    <n v="0"/>
    <s v=" --"/>
    <n v="0"/>
  </r>
  <r>
    <x v="1"/>
    <s v="Enabled"/>
    <x v="207"/>
    <x v="0"/>
    <x v="1"/>
    <s v="Not eligible"/>
    <s v="campaign paused"/>
    <n v="0"/>
    <s v="CAD"/>
    <n v="0"/>
    <n v="0"/>
    <n v="0"/>
    <n v="0"/>
    <s v=" --"/>
    <n v="0"/>
    <s v=" --"/>
    <n v="0"/>
  </r>
  <r>
    <x v="1"/>
    <s v="Enabled"/>
    <x v="59"/>
    <x v="0"/>
    <x v="1"/>
    <s v="Not eligible"/>
    <s v="campaign paused"/>
    <n v="0"/>
    <s v="CAD"/>
    <n v="0"/>
    <n v="0"/>
    <n v="0"/>
    <n v="0"/>
    <s v=" --"/>
    <n v="0"/>
    <s v=" --"/>
    <n v="0"/>
  </r>
  <r>
    <x v="1"/>
    <s v="Enabled"/>
    <x v="140"/>
    <x v="0"/>
    <x v="1"/>
    <s v="Not eligible"/>
    <s v="campaign paused"/>
    <n v="0"/>
    <s v="CAD"/>
    <n v="0"/>
    <n v="0"/>
    <n v="0"/>
    <n v="0"/>
    <s v=" --"/>
    <n v="0"/>
    <n v="5"/>
    <n v="0"/>
  </r>
  <r>
    <x v="1"/>
    <s v="Enabled"/>
    <x v="87"/>
    <x v="0"/>
    <x v="1"/>
    <s v="Not eligible"/>
    <s v="campaign paused"/>
    <n v="0"/>
    <s v="CAD"/>
    <n v="0"/>
    <n v="0"/>
    <n v="0"/>
    <n v="0"/>
    <s v=" --"/>
    <n v="0"/>
    <s v=" --"/>
    <n v="0"/>
  </r>
  <r>
    <x v="1"/>
    <s v="Enabled"/>
    <x v="231"/>
    <x v="0"/>
    <x v="1"/>
    <s v="Not eligible"/>
    <s v="campaign paused"/>
    <n v="0"/>
    <s v="CAD"/>
    <n v="0"/>
    <n v="0"/>
    <n v="0"/>
    <n v="0"/>
    <s v=" --"/>
    <n v="0"/>
    <s v=" --"/>
    <n v="0"/>
  </r>
  <r>
    <x v="1"/>
    <s v="Enabled"/>
    <x v="141"/>
    <x v="1"/>
    <x v="1"/>
    <s v="Not eligible"/>
    <s v="campaign paused"/>
    <n v="0"/>
    <s v="CAD"/>
    <n v="0"/>
    <n v="0"/>
    <n v="0"/>
    <n v="0"/>
    <s v=" --"/>
    <n v="0"/>
    <s v=" --"/>
    <n v="0"/>
  </r>
  <r>
    <x v="1"/>
    <s v="Enabled"/>
    <x v="221"/>
    <x v="2"/>
    <x v="1"/>
    <s v="Not eligible"/>
    <s v="campaign paused"/>
    <n v="0"/>
    <s v="CAD"/>
    <n v="0"/>
    <n v="0"/>
    <n v="0"/>
    <n v="0"/>
    <s v=" --"/>
    <n v="0"/>
    <s v=" --"/>
    <n v="0"/>
  </r>
  <r>
    <x v="1"/>
    <s v="Enabled"/>
    <x v="71"/>
    <x v="0"/>
    <x v="1"/>
    <s v="Not eligible"/>
    <s v="campaign paused"/>
    <n v="0"/>
    <s v="CAD"/>
    <n v="0"/>
    <n v="0"/>
    <n v="0"/>
    <n v="0"/>
    <s v=" --"/>
    <n v="0"/>
    <s v=" --"/>
    <n v="0"/>
  </r>
  <r>
    <x v="1"/>
    <s v="Paused"/>
    <x v="241"/>
    <x v="0"/>
    <x v="1"/>
    <s v="Paused"/>
    <s v="paused; campaign paused"/>
    <n v="0"/>
    <s v="CAD"/>
    <n v="0"/>
    <n v="10"/>
    <n v="30.62"/>
    <n v="149"/>
    <n v="6.7100000000000007E-2"/>
    <n v="3.06"/>
    <s v=" --"/>
    <n v="0"/>
  </r>
  <r>
    <x v="1"/>
    <s v="Enabled"/>
    <x v="191"/>
    <x v="0"/>
    <x v="1"/>
    <s v="Not eligible"/>
    <s v="campaign paused"/>
    <n v="0"/>
    <s v="CAD"/>
    <n v="0"/>
    <n v="0"/>
    <n v="0"/>
    <n v="0"/>
    <s v=" --"/>
    <n v="0"/>
    <s v=" --"/>
    <n v="0"/>
  </r>
  <r>
    <x v="1"/>
    <s v="Enabled"/>
    <x v="172"/>
    <x v="0"/>
    <x v="1"/>
    <s v="Not eligible"/>
    <s v="campaign paused"/>
    <n v="0"/>
    <s v="CAD"/>
    <n v="0"/>
    <n v="0"/>
    <n v="0"/>
    <n v="0"/>
    <s v=" --"/>
    <n v="0"/>
    <s v=" --"/>
    <n v="0"/>
  </r>
  <r>
    <x v="1"/>
    <s v="Enabled"/>
    <x v="74"/>
    <x v="0"/>
    <x v="1"/>
    <s v="Not eligible"/>
    <s v="campaign paused"/>
    <n v="0"/>
    <s v="CAD"/>
    <n v="0"/>
    <n v="0"/>
    <n v="0"/>
    <n v="0"/>
    <s v=" --"/>
    <n v="0"/>
    <s v=" --"/>
    <n v="0"/>
  </r>
  <r>
    <x v="1"/>
    <s v="Enabled"/>
    <x v="222"/>
    <x v="0"/>
    <x v="1"/>
    <s v="Not eligible"/>
    <s v="campaign paused"/>
    <n v="0"/>
    <s v="CAD"/>
    <n v="0"/>
    <n v="0"/>
    <n v="0"/>
    <n v="10"/>
    <n v="0"/>
    <n v="0"/>
    <s v=" --"/>
    <n v="0"/>
  </r>
  <r>
    <x v="1"/>
    <s v="Enabled"/>
    <x v="218"/>
    <x v="0"/>
    <x v="1"/>
    <s v="Not eligible"/>
    <s v="campaign paused"/>
    <n v="0"/>
    <s v="CAD"/>
    <n v="0"/>
    <n v="0"/>
    <n v="0"/>
    <n v="0"/>
    <s v=" --"/>
    <n v="0"/>
    <s v=" --"/>
    <n v="0"/>
  </r>
  <r>
    <x v="1"/>
    <s v="Enabled"/>
    <x v="60"/>
    <x v="0"/>
    <x v="1"/>
    <s v="Not eligible"/>
    <s v="campaign paused"/>
    <n v="0"/>
    <s v="CAD"/>
    <n v="0"/>
    <n v="0"/>
    <n v="0"/>
    <n v="0"/>
    <s v=" --"/>
    <n v="0"/>
    <s v=" --"/>
    <n v="0"/>
  </r>
  <r>
    <x v="1"/>
    <s v="Enabled"/>
    <x v="108"/>
    <x v="1"/>
    <x v="1"/>
    <s v="Not eligible"/>
    <s v="campaign paused"/>
    <n v="0"/>
    <s v="CAD"/>
    <n v="0"/>
    <n v="0"/>
    <n v="0"/>
    <n v="0"/>
    <s v=" --"/>
    <n v="0"/>
    <s v=" --"/>
    <n v="0"/>
  </r>
  <r>
    <x v="1"/>
    <s v="Paused"/>
    <x v="119"/>
    <x v="0"/>
    <x v="1"/>
    <s v="Paused"/>
    <s v="paused; campaign paused"/>
    <n v="0"/>
    <s v="CAD"/>
    <n v="0"/>
    <n v="0"/>
    <n v="0"/>
    <n v="0"/>
    <s v=" --"/>
    <n v="0"/>
    <s v=" --"/>
    <n v="0"/>
  </r>
  <r>
    <x v="1"/>
    <s v="Enabled"/>
    <x v="177"/>
    <x v="0"/>
    <x v="1"/>
    <s v="Not eligible"/>
    <s v="campaign paused"/>
    <n v="0"/>
    <s v="CAD"/>
    <n v="0"/>
    <n v="0"/>
    <n v="0"/>
    <n v="0"/>
    <s v=" --"/>
    <n v="0"/>
    <s v=" --"/>
    <n v="0"/>
  </r>
  <r>
    <x v="1"/>
    <s v="Enabled"/>
    <x v="49"/>
    <x v="0"/>
    <x v="1"/>
    <s v="Not eligible"/>
    <s v="campaign paused"/>
    <n v="0"/>
    <s v="CAD"/>
    <n v="0"/>
    <n v="0"/>
    <n v="0"/>
    <n v="0"/>
    <s v=" --"/>
    <n v="0"/>
    <s v=" --"/>
    <n v="0"/>
  </r>
  <r>
    <x v="1"/>
    <s v="Enabled"/>
    <x v="103"/>
    <x v="0"/>
    <x v="1"/>
    <s v="Not eligible"/>
    <s v="campaign paused"/>
    <n v="0"/>
    <s v="CAD"/>
    <n v="0"/>
    <n v="1"/>
    <n v="1.18"/>
    <n v="18"/>
    <n v="5.5599999999999997E-2"/>
    <n v="1.18"/>
    <s v=" --"/>
    <n v="0"/>
  </r>
  <r>
    <x v="1"/>
    <s v="Enabled"/>
    <x v="86"/>
    <x v="0"/>
    <x v="1"/>
    <s v="Not eligible"/>
    <s v="campaign paused"/>
    <n v="0"/>
    <s v="CAD"/>
    <n v="0"/>
    <n v="0"/>
    <n v="0"/>
    <n v="0"/>
    <s v=" --"/>
    <n v="0"/>
    <s v=" --"/>
    <n v="0"/>
  </r>
  <r>
    <x v="1"/>
    <s v="Enabled"/>
    <x v="284"/>
    <x v="0"/>
    <x v="1"/>
    <s v="Not eligible"/>
    <s v="campaign paused"/>
    <n v="0"/>
    <s v="CAD"/>
    <n v="0"/>
    <n v="0"/>
    <n v="0"/>
    <n v="0"/>
    <s v=" --"/>
    <n v="0"/>
    <s v=" --"/>
    <n v="0"/>
  </r>
  <r>
    <x v="1"/>
    <s v="Enabled"/>
    <x v="180"/>
    <x v="0"/>
    <x v="1"/>
    <s v="Not eligible"/>
    <s v="campaign paused"/>
    <n v="0"/>
    <s v="CAD"/>
    <n v="0"/>
    <n v="0"/>
    <n v="0"/>
    <n v="3"/>
    <n v="0"/>
    <n v="0"/>
    <s v=" --"/>
    <n v="0"/>
  </r>
  <r>
    <x v="1"/>
    <s v="Enabled"/>
    <x v="168"/>
    <x v="0"/>
    <x v="1"/>
    <s v="Not eligible"/>
    <s v="campaign paused"/>
    <n v="0"/>
    <s v="CAD"/>
    <n v="0"/>
    <n v="0"/>
    <n v="0"/>
    <n v="1"/>
    <n v="0"/>
    <n v="0"/>
    <s v=" --"/>
    <n v="0"/>
  </r>
  <r>
    <x v="1"/>
    <s v="Enabled"/>
    <x v="120"/>
    <x v="2"/>
    <x v="1"/>
    <s v="Not eligible"/>
    <s v="campaign paused"/>
    <n v="0"/>
    <s v="CAD"/>
    <n v="0"/>
    <n v="0"/>
    <n v="0"/>
    <n v="0"/>
    <s v=" --"/>
    <n v="0"/>
    <s v=" --"/>
    <n v="0"/>
  </r>
  <r>
    <x v="1"/>
    <s v="Enabled"/>
    <x v="182"/>
    <x v="1"/>
    <x v="1"/>
    <s v="Not eligible"/>
    <s v="campaign paused"/>
    <n v="0"/>
    <s v="CAD"/>
    <n v="0"/>
    <n v="0"/>
    <n v="0"/>
    <n v="0"/>
    <s v=" --"/>
    <n v="0"/>
    <n v="8"/>
    <n v="0"/>
  </r>
  <r>
    <x v="1"/>
    <s v="Enabled"/>
    <x v="204"/>
    <x v="2"/>
    <x v="1"/>
    <s v="Not eligible"/>
    <s v="campaign paused"/>
    <n v="0"/>
    <s v="CAD"/>
    <n v="0"/>
    <n v="0"/>
    <n v="0"/>
    <n v="2"/>
    <n v="0"/>
    <n v="0"/>
    <n v="5"/>
    <n v="0"/>
  </r>
  <r>
    <x v="1"/>
    <s v="Enabled"/>
    <x v="124"/>
    <x v="0"/>
    <x v="1"/>
    <s v="Not eligible"/>
    <s v="campaign paused"/>
    <n v="0"/>
    <s v="CAD"/>
    <n v="0"/>
    <n v="0"/>
    <n v="0"/>
    <n v="0"/>
    <s v=" --"/>
    <n v="0"/>
    <s v=" --"/>
    <n v="0"/>
  </r>
  <r>
    <x v="1"/>
    <s v="Enabled"/>
    <x v="188"/>
    <x v="0"/>
    <x v="1"/>
    <s v="Not eligible"/>
    <s v="campaign paused"/>
    <n v="0"/>
    <s v="CAD"/>
    <n v="0"/>
    <n v="0"/>
    <n v="0"/>
    <n v="0"/>
    <s v=" --"/>
    <n v="0"/>
    <s v=" --"/>
    <n v="0"/>
  </r>
  <r>
    <x v="1"/>
    <s v="Enabled"/>
    <x v="232"/>
    <x v="0"/>
    <x v="1"/>
    <s v="Not eligible"/>
    <s v="campaign paused"/>
    <n v="0"/>
    <s v="CAD"/>
    <n v="0"/>
    <n v="0"/>
    <n v="0"/>
    <n v="0"/>
    <s v=" --"/>
    <n v="0"/>
    <s v=" --"/>
    <n v="0"/>
  </r>
  <r>
    <x v="1"/>
    <s v="Enabled"/>
    <x v="57"/>
    <x v="0"/>
    <x v="1"/>
    <s v="Not eligible"/>
    <s v="campaign paused"/>
    <n v="0"/>
    <s v="CAD"/>
    <n v="0"/>
    <n v="0"/>
    <n v="0"/>
    <n v="0"/>
    <s v=" --"/>
    <n v="0"/>
    <s v=" --"/>
    <n v="0"/>
  </r>
  <r>
    <x v="1"/>
    <s v="Enabled"/>
    <x v="167"/>
    <x v="0"/>
    <x v="1"/>
    <s v="Not eligible"/>
    <s v="campaign paused"/>
    <n v="0"/>
    <s v="CAD"/>
    <n v="0"/>
    <n v="0"/>
    <n v="0"/>
    <n v="0"/>
    <s v=" --"/>
    <n v="0"/>
    <s v=" --"/>
    <n v="0"/>
  </r>
  <r>
    <x v="1"/>
    <s v="Enabled"/>
    <x v="91"/>
    <x v="0"/>
    <x v="1"/>
    <s v="Not eligible"/>
    <s v="campaign paused"/>
    <n v="0"/>
    <s v="CAD"/>
    <n v="0"/>
    <n v="0"/>
    <n v="0"/>
    <n v="0"/>
    <s v=" --"/>
    <n v="0"/>
    <s v=" --"/>
    <n v="0"/>
  </r>
  <r>
    <x v="1"/>
    <s v="Enabled"/>
    <x v="246"/>
    <x v="0"/>
    <x v="1"/>
    <s v="Not eligible"/>
    <s v="campaign paused"/>
    <n v="0"/>
    <s v="CAD"/>
    <n v="0"/>
    <n v="0"/>
    <n v="0"/>
    <n v="0"/>
    <s v=" --"/>
    <n v="0"/>
    <s v=" --"/>
    <n v="0"/>
  </r>
  <r>
    <x v="1"/>
    <s v="Enabled"/>
    <x v="184"/>
    <x v="0"/>
    <x v="1"/>
    <s v="Not eligible"/>
    <s v="campaign paused"/>
    <n v="0"/>
    <s v="CAD"/>
    <n v="0"/>
    <n v="0"/>
    <n v="0"/>
    <n v="0"/>
    <s v=" --"/>
    <n v="0"/>
    <s v=" --"/>
    <n v="0"/>
  </r>
  <r>
    <x v="1"/>
    <s v="Enabled"/>
    <x v="208"/>
    <x v="0"/>
    <x v="1"/>
    <s v="Not eligible"/>
    <s v="campaign paused"/>
    <n v="0"/>
    <s v="CAD"/>
    <n v="0"/>
    <n v="0"/>
    <n v="0"/>
    <n v="0"/>
    <s v=" --"/>
    <n v="0"/>
    <s v=" --"/>
    <n v="0"/>
  </r>
  <r>
    <x v="1"/>
    <s v="Enabled"/>
    <x v="230"/>
    <x v="0"/>
    <x v="1"/>
    <s v="Not eligible"/>
    <s v="campaign paused"/>
    <n v="0"/>
    <s v="CAD"/>
    <n v="0"/>
    <n v="0"/>
    <n v="0"/>
    <n v="0"/>
    <s v=" --"/>
    <n v="0"/>
    <s v=" --"/>
    <n v="0"/>
  </r>
  <r>
    <x v="1"/>
    <s v="Enabled"/>
    <x v="181"/>
    <x v="0"/>
    <x v="1"/>
    <s v="Not eligible"/>
    <s v="campaign paused"/>
    <n v="0"/>
    <s v="CAD"/>
    <n v="0"/>
    <n v="0"/>
    <n v="0"/>
    <n v="0"/>
    <s v=" --"/>
    <n v="0"/>
    <s v=" --"/>
    <n v="0"/>
  </r>
  <r>
    <x v="1"/>
    <s v="Enabled"/>
    <x v="94"/>
    <x v="0"/>
    <x v="1"/>
    <s v="Not eligible"/>
    <s v="campaign paused"/>
    <n v="0"/>
    <s v="CAD"/>
    <n v="0"/>
    <n v="0"/>
    <n v="0"/>
    <n v="0"/>
    <s v=" --"/>
    <n v="0"/>
    <s v=" --"/>
    <n v="0"/>
  </r>
  <r>
    <x v="1"/>
    <s v="Paused"/>
    <x v="157"/>
    <x v="0"/>
    <x v="1"/>
    <s v="Paused"/>
    <s v="paused; campaign paused"/>
    <n v="0"/>
    <s v="CAD"/>
    <n v="0"/>
    <n v="0"/>
    <n v="0"/>
    <n v="0"/>
    <s v=" --"/>
    <n v="0"/>
    <s v=" --"/>
    <n v="0"/>
  </r>
  <r>
    <x v="1"/>
    <s v="Enabled"/>
    <x v="113"/>
    <x v="0"/>
    <x v="1"/>
    <s v="Not eligible"/>
    <s v="campaign paused"/>
    <n v="0"/>
    <s v="CAD"/>
    <n v="0"/>
    <n v="0"/>
    <n v="0"/>
    <n v="0"/>
    <s v=" --"/>
    <n v="0"/>
    <s v=" --"/>
    <n v="0"/>
  </r>
  <r>
    <x v="1"/>
    <s v="Enabled"/>
    <x v="178"/>
    <x v="0"/>
    <x v="1"/>
    <s v="Not eligible"/>
    <s v="campaign paused"/>
    <n v="0"/>
    <s v="CAD"/>
    <n v="0"/>
    <n v="0"/>
    <n v="0"/>
    <n v="0"/>
    <s v=" --"/>
    <n v="0"/>
    <s v=" --"/>
    <n v="0"/>
  </r>
  <r>
    <x v="1"/>
    <s v="Enabled"/>
    <x v="173"/>
    <x v="0"/>
    <x v="1"/>
    <s v="Not eligible"/>
    <s v="campaign paused"/>
    <n v="0"/>
    <s v="CAD"/>
    <n v="0"/>
    <n v="0"/>
    <n v="0"/>
    <n v="4"/>
    <n v="0"/>
    <n v="0"/>
    <s v=" --"/>
    <n v="0"/>
  </r>
  <r>
    <x v="1"/>
    <s v="Enabled"/>
    <x v="283"/>
    <x v="0"/>
    <x v="1"/>
    <s v="Not eligible"/>
    <s v="campaign paused"/>
    <n v="0"/>
    <s v="CAD"/>
    <n v="0"/>
    <n v="0"/>
    <n v="0"/>
    <n v="1"/>
    <n v="0"/>
    <n v="0"/>
    <s v=" --"/>
    <n v="0"/>
  </r>
  <r>
    <x v="1"/>
    <s v="Enabled"/>
    <x v="193"/>
    <x v="0"/>
    <x v="1"/>
    <s v="Not eligible"/>
    <s v="campaign paused"/>
    <n v="0"/>
    <s v="CAD"/>
    <n v="0"/>
    <n v="0"/>
    <n v="0"/>
    <n v="0"/>
    <s v=" --"/>
    <n v="0"/>
    <s v=" --"/>
    <n v="0"/>
  </r>
  <r>
    <x v="1"/>
    <s v="Enabled"/>
    <x v="166"/>
    <x v="1"/>
    <x v="1"/>
    <s v="Not eligible"/>
    <s v="campaign paused"/>
    <n v="0"/>
    <s v="CAD"/>
    <n v="0"/>
    <n v="0"/>
    <n v="0"/>
    <n v="0"/>
    <s v=" --"/>
    <n v="0"/>
    <s v=" --"/>
    <n v="0"/>
  </r>
  <r>
    <x v="1"/>
    <s v="Enabled"/>
    <x v="76"/>
    <x v="1"/>
    <x v="1"/>
    <s v="Not eligible"/>
    <s v="campaign paused"/>
    <n v="0"/>
    <s v="CAD"/>
    <n v="0"/>
    <n v="0"/>
    <n v="0"/>
    <n v="0"/>
    <s v=" --"/>
    <n v="0"/>
    <s v=" --"/>
    <n v="0"/>
  </r>
  <r>
    <x v="1"/>
    <s v="Enabled"/>
    <x v="248"/>
    <x v="0"/>
    <x v="1"/>
    <s v="Not eligible"/>
    <s v="campaign paused"/>
    <n v="0"/>
    <s v="CAD"/>
    <n v="0"/>
    <n v="0"/>
    <n v="0"/>
    <n v="0"/>
    <s v=" --"/>
    <n v="0"/>
    <s v=" --"/>
    <n v="0"/>
  </r>
  <r>
    <x v="1"/>
    <s v="Enabled"/>
    <x v="156"/>
    <x v="0"/>
    <x v="1"/>
    <s v="Not eligible"/>
    <s v="campaign paused"/>
    <n v="0"/>
    <s v="CAD"/>
    <n v="0"/>
    <n v="0"/>
    <n v="0"/>
    <n v="0"/>
    <s v=" --"/>
    <n v="0"/>
    <s v=" --"/>
    <n v="0"/>
  </r>
  <r>
    <x v="1"/>
    <s v="Enabled"/>
    <x v="68"/>
    <x v="0"/>
    <x v="1"/>
    <s v="Not eligible"/>
    <s v="campaign paused"/>
    <n v="0"/>
    <s v="CAD"/>
    <n v="0"/>
    <n v="0"/>
    <n v="0"/>
    <n v="0"/>
    <s v=" --"/>
    <n v="0"/>
    <s v=" --"/>
    <n v="0"/>
  </r>
  <r>
    <x v="1"/>
    <s v="Enabled"/>
    <x v="253"/>
    <x v="2"/>
    <x v="3"/>
    <s v="Not eligible"/>
    <s v="ad group paused; campaign paused"/>
    <n v="0"/>
    <s v="CAD"/>
    <n v="0"/>
    <n v="0"/>
    <n v="0"/>
    <n v="0"/>
    <s v=" --"/>
    <n v="0"/>
    <s v=" --"/>
    <n v="0"/>
  </r>
  <r>
    <x v="1"/>
    <s v="Enabled"/>
    <x v="256"/>
    <x v="1"/>
    <x v="3"/>
    <s v="Not eligible"/>
    <s v="ad group paused; campaign paused"/>
    <n v="0"/>
    <s v="CAD"/>
    <n v="0"/>
    <n v="0"/>
    <n v="0"/>
    <n v="0"/>
    <s v=" --"/>
    <n v="0"/>
    <s v=" --"/>
    <n v="0"/>
  </r>
  <r>
    <x v="1"/>
    <s v="Enabled"/>
    <x v="252"/>
    <x v="2"/>
    <x v="3"/>
    <s v="Not eligible"/>
    <s v="ad group paused; campaign paused"/>
    <n v="0"/>
    <s v="CAD"/>
    <n v="0"/>
    <n v="0"/>
    <n v="0"/>
    <n v="0"/>
    <s v=" --"/>
    <n v="0"/>
    <s v=" --"/>
    <n v="0"/>
  </r>
  <r>
    <x v="1"/>
    <s v="Paused"/>
    <x v="257"/>
    <x v="0"/>
    <x v="3"/>
    <s v="Paused"/>
    <s v="paused; ad group paused; campaign paused"/>
    <n v="0"/>
    <s v="CAD"/>
    <n v="0"/>
    <n v="0"/>
    <n v="0"/>
    <n v="0"/>
    <s v=" --"/>
    <n v="0"/>
    <s v=" --"/>
    <n v="0"/>
  </r>
  <r>
    <x v="1"/>
    <s v="Enabled"/>
    <x v="255"/>
    <x v="1"/>
    <x v="3"/>
    <s v="Not eligible"/>
    <s v="ad group paused; campaign paused"/>
    <n v="0"/>
    <s v="CAD"/>
    <n v="0"/>
    <n v="0"/>
    <n v="0"/>
    <n v="0"/>
    <s v=" --"/>
    <n v="0"/>
    <s v=" --"/>
    <n v="0"/>
  </r>
  <r>
    <x v="1"/>
    <s v="Enabled"/>
    <x v="254"/>
    <x v="1"/>
    <x v="3"/>
    <s v="Not eligible"/>
    <s v="ad group paused; campaign paused"/>
    <n v="0"/>
    <s v="CAD"/>
    <n v="0"/>
    <n v="0"/>
    <n v="0"/>
    <n v="0"/>
    <s v=" --"/>
    <n v="0"/>
    <s v=" --"/>
    <n v="0"/>
  </r>
  <r>
    <x v="1"/>
    <s v="Enabled"/>
    <x v="116"/>
    <x v="0"/>
    <x v="3"/>
    <s v="Not eligible"/>
    <s v="ad group paused; campaign paused"/>
    <n v="0"/>
    <s v="CAD"/>
    <n v="0"/>
    <n v="0"/>
    <n v="0"/>
    <n v="0"/>
    <s v=" --"/>
    <n v="0"/>
    <s v=" --"/>
    <n v="0"/>
  </r>
  <r>
    <x v="1"/>
    <s v="Enabled"/>
    <x v="236"/>
    <x v="0"/>
    <x v="3"/>
    <s v="Not eligible"/>
    <s v="ad group paused; campaign paused"/>
    <n v="0"/>
    <s v="CAD"/>
    <n v="0"/>
    <n v="0"/>
    <n v="0"/>
    <n v="0"/>
    <s v=" --"/>
    <n v="0"/>
    <s v=" --"/>
    <n v="0"/>
  </r>
  <r>
    <x v="1"/>
    <s v="Enabled"/>
    <x v="258"/>
    <x v="2"/>
    <x v="3"/>
    <s v="Not eligible"/>
    <s v="ad group paused; campaign paused"/>
    <n v="0"/>
    <s v="CAD"/>
    <n v="0"/>
    <n v="0"/>
    <n v="0"/>
    <n v="0"/>
    <s v=" --"/>
    <n v="0"/>
    <s v=" --"/>
    <n v="0"/>
  </r>
  <r>
    <x v="2"/>
    <s v="Enabled"/>
    <x v="285"/>
    <x v="1"/>
    <x v="5"/>
    <s v="Not eligible"/>
    <s v="rarely served; campaign paused"/>
    <n v="0"/>
    <s v="CAD"/>
    <n v="0"/>
    <n v="0"/>
    <n v="0"/>
    <n v="0"/>
    <s v=" --"/>
    <n v="0"/>
    <s v=" --"/>
    <n v="0"/>
  </r>
  <r>
    <x v="2"/>
    <s v="Enabled"/>
    <x v="286"/>
    <x v="0"/>
    <x v="5"/>
    <s v="Not eligible"/>
    <s v="campaign paused"/>
    <n v="0"/>
    <s v="CAD"/>
    <n v="0"/>
    <n v="0"/>
    <n v="0"/>
    <n v="2"/>
    <n v="0"/>
    <n v="0"/>
    <s v=" --"/>
    <n v="0"/>
  </r>
  <r>
    <x v="2"/>
    <s v="Enabled"/>
    <x v="287"/>
    <x v="0"/>
    <x v="5"/>
    <s v="Not eligible"/>
    <s v="rarely served; campaign paused"/>
    <n v="0"/>
    <s v="CAD"/>
    <n v="0"/>
    <n v="0"/>
    <n v="0"/>
    <n v="0"/>
    <s v=" --"/>
    <n v="0"/>
    <s v=" --"/>
    <n v="0"/>
  </r>
  <r>
    <x v="2"/>
    <s v="Enabled"/>
    <x v="288"/>
    <x v="2"/>
    <x v="5"/>
    <s v="Not eligible"/>
    <s v="campaign paused"/>
    <n v="0"/>
    <s v="CAD"/>
    <n v="0"/>
    <n v="0"/>
    <n v="0"/>
    <n v="0"/>
    <s v=" --"/>
    <n v="0"/>
    <s v=" --"/>
    <n v="0"/>
  </r>
  <r>
    <x v="2"/>
    <s v="Enabled"/>
    <x v="289"/>
    <x v="0"/>
    <x v="5"/>
    <s v="Not eligible"/>
    <s v="campaign paused"/>
    <n v="0"/>
    <s v="CAD"/>
    <n v="0"/>
    <n v="0"/>
    <n v="0"/>
    <n v="14"/>
    <n v="0"/>
    <n v="0"/>
    <s v=" --"/>
    <n v="0"/>
  </r>
  <r>
    <x v="2"/>
    <s v="Enabled"/>
    <x v="290"/>
    <x v="1"/>
    <x v="5"/>
    <s v="Not eligible"/>
    <s v="campaign paused"/>
    <n v="0"/>
    <s v="CAD"/>
    <n v="0"/>
    <n v="0"/>
    <n v="0"/>
    <n v="12"/>
    <n v="0"/>
    <n v="0"/>
    <n v="7"/>
    <n v="0"/>
  </r>
  <r>
    <x v="2"/>
    <s v="Enabled"/>
    <x v="291"/>
    <x v="2"/>
    <x v="5"/>
    <s v="Not eligible"/>
    <s v="rarely served; campaign paused"/>
    <n v="0"/>
    <s v="CAD"/>
    <n v="0"/>
    <n v="0"/>
    <n v="0"/>
    <n v="0"/>
    <s v=" --"/>
    <n v="0"/>
    <s v=" --"/>
    <n v="0"/>
  </r>
  <r>
    <x v="2"/>
    <s v="Enabled"/>
    <x v="292"/>
    <x v="0"/>
    <x v="5"/>
    <s v="Not eligible"/>
    <s v="campaign paused"/>
    <n v="7"/>
    <s v="CAD"/>
    <n v="19.98"/>
    <n v="53"/>
    <n v="139.85"/>
    <n v="1730"/>
    <n v="3.0599999999999999E-2"/>
    <n v="2.64"/>
    <s v=" --"/>
    <n v="0.1321"/>
  </r>
  <r>
    <x v="2"/>
    <s v="Enabled"/>
    <x v="293"/>
    <x v="2"/>
    <x v="5"/>
    <s v="Not eligible"/>
    <s v="campaign paused"/>
    <n v="0"/>
    <s v="CAD"/>
    <n v="0"/>
    <n v="0"/>
    <n v="0"/>
    <n v="2"/>
    <n v="0"/>
    <n v="0"/>
    <n v="3"/>
    <n v="0"/>
  </r>
  <r>
    <x v="2"/>
    <s v="Enabled"/>
    <x v="294"/>
    <x v="1"/>
    <x v="5"/>
    <s v="Not eligible"/>
    <s v="rarely served; campaign paused"/>
    <n v="0"/>
    <s v="CAD"/>
    <n v="0"/>
    <n v="0"/>
    <n v="0"/>
    <n v="0"/>
    <s v=" --"/>
    <n v="0"/>
    <s v=" --"/>
    <n v="0"/>
  </r>
  <r>
    <x v="2"/>
    <s v="Enabled"/>
    <x v="295"/>
    <x v="0"/>
    <x v="5"/>
    <s v="Not eligible"/>
    <s v="rarely served; campaign paused"/>
    <n v="0"/>
    <s v="CAD"/>
    <n v="0"/>
    <n v="0"/>
    <n v="0"/>
    <n v="0"/>
    <s v=" --"/>
    <n v="0"/>
    <s v=" --"/>
    <n v="0"/>
  </r>
  <r>
    <x v="2"/>
    <s v="Enabled"/>
    <x v="296"/>
    <x v="1"/>
    <x v="5"/>
    <s v="Not eligible"/>
    <s v="campaign paused"/>
    <n v="0"/>
    <s v="CAD"/>
    <n v="0"/>
    <n v="0"/>
    <n v="0"/>
    <n v="0"/>
    <s v=" --"/>
    <n v="0"/>
    <n v="3"/>
    <n v="0"/>
  </r>
  <r>
    <x v="2"/>
    <s v="Enabled"/>
    <x v="297"/>
    <x v="0"/>
    <x v="5"/>
    <s v="Not eligible"/>
    <s v="campaign paused"/>
    <n v="0"/>
    <s v="CAD"/>
    <n v="0"/>
    <n v="0"/>
    <n v="0"/>
    <n v="5"/>
    <n v="0"/>
    <n v="0"/>
    <s v=" --"/>
    <n v="0"/>
  </r>
  <r>
    <x v="2"/>
    <s v="Enabled"/>
    <x v="298"/>
    <x v="0"/>
    <x v="5"/>
    <s v="Not eligible"/>
    <s v="campaign paused"/>
    <n v="0"/>
    <s v="CAD"/>
    <n v="0"/>
    <n v="0"/>
    <n v="0"/>
    <n v="0"/>
    <s v=" --"/>
    <n v="0"/>
    <s v=" --"/>
    <n v="0"/>
  </r>
  <r>
    <x v="2"/>
    <s v="Enabled"/>
    <x v="299"/>
    <x v="1"/>
    <x v="5"/>
    <s v="Not eligible"/>
    <s v="campaign paused"/>
    <n v="0"/>
    <s v="CAD"/>
    <n v="0"/>
    <n v="0"/>
    <n v="0"/>
    <n v="4"/>
    <n v="0"/>
    <n v="0"/>
    <s v=" --"/>
    <n v="0"/>
  </r>
  <r>
    <x v="2"/>
    <s v="Enabled"/>
    <x v="300"/>
    <x v="2"/>
    <x v="5"/>
    <s v="Not eligible"/>
    <s v="campaign paused"/>
    <n v="0"/>
    <s v="CAD"/>
    <n v="0"/>
    <n v="0"/>
    <n v="0"/>
    <n v="20"/>
    <n v="0"/>
    <n v="0"/>
    <n v="7"/>
    <n v="0"/>
  </r>
  <r>
    <x v="2"/>
    <s v="Enabled"/>
    <x v="301"/>
    <x v="0"/>
    <x v="5"/>
    <s v="Not eligible"/>
    <s v="rarely served; campaign paused"/>
    <n v="0"/>
    <s v="CAD"/>
    <n v="0"/>
    <n v="0"/>
    <n v="0"/>
    <n v="0"/>
    <s v=" --"/>
    <n v="0"/>
    <s v=" --"/>
    <n v="0"/>
  </r>
  <r>
    <x v="2"/>
    <s v="Enabled"/>
    <x v="302"/>
    <x v="2"/>
    <x v="5"/>
    <s v="Not eligible"/>
    <s v="campaign paused"/>
    <n v="0"/>
    <s v="CAD"/>
    <n v="0"/>
    <n v="0"/>
    <n v="0"/>
    <n v="0"/>
    <s v=" --"/>
    <n v="0"/>
    <s v=" --"/>
    <n v="0"/>
  </r>
  <r>
    <x v="2"/>
    <s v="Enabled"/>
    <x v="303"/>
    <x v="0"/>
    <x v="5"/>
    <s v="Not eligible"/>
    <s v="campaign paused"/>
    <n v="2"/>
    <s v="CAD"/>
    <n v="28.64"/>
    <n v="19"/>
    <n v="57.27"/>
    <n v="546"/>
    <n v="3.4799999999999998E-2"/>
    <n v="3.01"/>
    <n v="3"/>
    <n v="0.1053"/>
  </r>
  <r>
    <x v="2"/>
    <s v="Enabled"/>
    <x v="304"/>
    <x v="2"/>
    <x v="5"/>
    <s v="Not eligible"/>
    <s v="campaign paused"/>
    <n v="0"/>
    <s v="CAD"/>
    <n v="0"/>
    <n v="0"/>
    <n v="0"/>
    <n v="0"/>
    <s v=" --"/>
    <n v="0"/>
    <s v=" --"/>
    <n v="0"/>
  </r>
  <r>
    <x v="2"/>
    <s v="Enabled"/>
    <x v="305"/>
    <x v="1"/>
    <x v="5"/>
    <s v="Not eligible"/>
    <s v="campaign paused"/>
    <n v="0"/>
    <s v="CAD"/>
    <n v="0"/>
    <n v="1"/>
    <n v="5.66"/>
    <n v="9"/>
    <n v="0.1111"/>
    <n v="5.66"/>
    <s v=" --"/>
    <n v="0"/>
  </r>
  <r>
    <x v="2"/>
    <s v="Enabled"/>
    <x v="306"/>
    <x v="1"/>
    <x v="5"/>
    <s v="Not eligible"/>
    <s v="campaign paused"/>
    <n v="0"/>
    <s v="CAD"/>
    <n v="0"/>
    <n v="6"/>
    <n v="20.3"/>
    <n v="295"/>
    <n v="2.0299999999999999E-2"/>
    <n v="3.38"/>
    <s v=" --"/>
    <n v="0"/>
  </r>
  <r>
    <x v="2"/>
    <s v="Enabled"/>
    <x v="307"/>
    <x v="0"/>
    <x v="5"/>
    <s v="Not eligible"/>
    <s v="campaign paused"/>
    <n v="0"/>
    <s v="CAD"/>
    <n v="0"/>
    <n v="0"/>
    <n v="0"/>
    <n v="0"/>
    <s v=" --"/>
    <n v="0"/>
    <s v=" --"/>
    <n v="0"/>
  </r>
  <r>
    <x v="2"/>
    <s v="Enabled"/>
    <x v="308"/>
    <x v="2"/>
    <x v="5"/>
    <s v="Not eligible"/>
    <s v="campaign paused"/>
    <n v="0"/>
    <s v="CAD"/>
    <n v="0"/>
    <n v="0"/>
    <n v="0"/>
    <n v="4"/>
    <n v="0"/>
    <n v="0"/>
    <s v=" --"/>
    <n v="0"/>
  </r>
  <r>
    <x v="2"/>
    <s v="Enabled"/>
    <x v="309"/>
    <x v="0"/>
    <x v="5"/>
    <s v="Not eligible"/>
    <s v="campaign paused"/>
    <n v="0"/>
    <s v="CAD"/>
    <n v="0"/>
    <n v="0"/>
    <n v="0"/>
    <n v="10"/>
    <n v="0"/>
    <n v="0"/>
    <n v="6"/>
    <n v="0"/>
  </r>
  <r>
    <x v="2"/>
    <s v="Paused"/>
    <x v="310"/>
    <x v="0"/>
    <x v="5"/>
    <s v="Paused"/>
    <s v="paused; campaign paused"/>
    <n v="4.33"/>
    <s v="CAD"/>
    <n v="48.74"/>
    <n v="78"/>
    <n v="211.21"/>
    <n v="2749"/>
    <n v="2.8400000000000002E-2"/>
    <n v="2.71"/>
    <n v="7"/>
    <n v="5.5599999999999997E-2"/>
  </r>
  <r>
    <x v="2"/>
    <s v="Enabled"/>
    <x v="311"/>
    <x v="1"/>
    <x v="5"/>
    <s v="Not eligible"/>
    <s v="campaign paused"/>
    <n v="0"/>
    <s v="CAD"/>
    <n v="0"/>
    <n v="0"/>
    <n v="0"/>
    <n v="0"/>
    <s v=" --"/>
    <n v="0"/>
    <s v=" --"/>
    <n v="0"/>
  </r>
  <r>
    <x v="2"/>
    <s v="Enabled"/>
    <x v="312"/>
    <x v="1"/>
    <x v="5"/>
    <s v="Not eligible"/>
    <s v="rarely served; campaign paused"/>
    <n v="0"/>
    <s v="CAD"/>
    <n v="0"/>
    <n v="0"/>
    <n v="0"/>
    <n v="0"/>
    <s v=" --"/>
    <n v="0"/>
    <s v=" --"/>
    <n v="0"/>
  </r>
  <r>
    <x v="2"/>
    <s v="Enabled"/>
    <x v="313"/>
    <x v="2"/>
    <x v="5"/>
    <s v="Not eligible"/>
    <s v="rarely served; campaign paused"/>
    <n v="0"/>
    <s v="CAD"/>
    <n v="0"/>
    <n v="0"/>
    <n v="0"/>
    <n v="0"/>
    <s v=" --"/>
    <n v="0"/>
    <s v=" --"/>
    <n v="0"/>
  </r>
  <r>
    <x v="2"/>
    <s v="Enabled"/>
    <x v="314"/>
    <x v="1"/>
    <x v="5"/>
    <s v="Not eligible"/>
    <s v="campaign paused"/>
    <n v="0"/>
    <s v="CAD"/>
    <n v="0"/>
    <n v="0"/>
    <n v="0"/>
    <n v="1"/>
    <n v="0"/>
    <n v="0"/>
    <s v=" --"/>
    <n v="0"/>
  </r>
  <r>
    <x v="2"/>
    <s v="Enabled"/>
    <x v="315"/>
    <x v="0"/>
    <x v="5"/>
    <s v="Not eligible"/>
    <s v="campaign paused"/>
    <n v="0"/>
    <s v="CAD"/>
    <n v="0"/>
    <n v="0"/>
    <n v="0"/>
    <n v="28"/>
    <n v="0"/>
    <n v="0"/>
    <s v=" --"/>
    <n v="0"/>
  </r>
  <r>
    <x v="2"/>
    <s v="Enabled"/>
    <x v="316"/>
    <x v="2"/>
    <x v="5"/>
    <s v="Not eligible"/>
    <s v="campaign paused"/>
    <n v="0"/>
    <s v="CAD"/>
    <n v="0"/>
    <n v="1"/>
    <n v="0.71"/>
    <n v="16"/>
    <n v="6.25E-2"/>
    <n v="0.71"/>
    <s v=" --"/>
    <n v="0"/>
  </r>
  <r>
    <x v="2"/>
    <s v="Enabled"/>
    <x v="317"/>
    <x v="1"/>
    <x v="5"/>
    <s v="Not eligible"/>
    <s v="campaign paused"/>
    <n v="0"/>
    <s v="CAD"/>
    <n v="0"/>
    <n v="0"/>
    <n v="0"/>
    <n v="1"/>
    <n v="0"/>
    <n v="0"/>
    <s v=" --"/>
    <n v="0"/>
  </r>
  <r>
    <x v="2"/>
    <s v="Enabled"/>
    <x v="318"/>
    <x v="2"/>
    <x v="5"/>
    <s v="Not eligible"/>
    <s v="campaign paused"/>
    <n v="0"/>
    <s v="CAD"/>
    <n v="0"/>
    <n v="0"/>
    <n v="0"/>
    <n v="16"/>
    <n v="0"/>
    <n v="0"/>
    <s v=" --"/>
    <n v="0"/>
  </r>
  <r>
    <x v="2"/>
    <s v="Enabled"/>
    <x v="319"/>
    <x v="2"/>
    <x v="5"/>
    <s v="Not eligible"/>
    <s v="rarely served; campaign paused"/>
    <n v="0"/>
    <s v="CAD"/>
    <n v="0"/>
    <n v="0"/>
    <n v="0"/>
    <n v="0"/>
    <s v=" --"/>
    <n v="0"/>
    <s v=" --"/>
    <n v="0"/>
  </r>
  <r>
    <x v="2"/>
    <s v="Enabled"/>
    <x v="320"/>
    <x v="1"/>
    <x v="6"/>
    <s v="Not eligible"/>
    <s v="rarely served; campaign paused"/>
    <n v="0"/>
    <s v="CAD"/>
    <n v="0"/>
    <n v="0"/>
    <n v="0"/>
    <n v="0"/>
    <s v=" --"/>
    <n v="0"/>
    <s v=" --"/>
    <n v="0"/>
  </r>
  <r>
    <x v="2"/>
    <s v="Enabled"/>
    <x v="321"/>
    <x v="0"/>
    <x v="6"/>
    <s v="Not eligible"/>
    <s v="campaign paused"/>
    <n v="2"/>
    <s v="CAD"/>
    <n v="5.5"/>
    <n v="6"/>
    <n v="10.99"/>
    <n v="602"/>
    <n v="0.01"/>
    <n v="1.83"/>
    <n v="5"/>
    <n v="0.33329999999999999"/>
  </r>
  <r>
    <x v="2"/>
    <s v="Enabled"/>
    <x v="322"/>
    <x v="0"/>
    <x v="6"/>
    <s v="Not eligible"/>
    <s v="rarely served; campaign paused"/>
    <n v="0"/>
    <s v="CAD"/>
    <n v="0"/>
    <n v="0"/>
    <n v="0"/>
    <n v="0"/>
    <s v=" --"/>
    <n v="0"/>
    <s v=" --"/>
    <n v="0"/>
  </r>
  <r>
    <x v="2"/>
    <s v="Enabled"/>
    <x v="323"/>
    <x v="0"/>
    <x v="6"/>
    <s v="Not eligible"/>
    <s v="rarely served; campaign paused"/>
    <n v="0"/>
    <s v="CAD"/>
    <n v="0"/>
    <n v="0"/>
    <n v="0"/>
    <n v="0"/>
    <s v=" --"/>
    <n v="0"/>
    <s v=" --"/>
    <n v="0"/>
  </r>
  <r>
    <x v="2"/>
    <s v="Enabled"/>
    <x v="324"/>
    <x v="1"/>
    <x v="6"/>
    <s v="Not eligible"/>
    <s v="campaign paused"/>
    <n v="0"/>
    <s v="CAD"/>
    <n v="0"/>
    <n v="1"/>
    <n v="3.67"/>
    <n v="12"/>
    <n v="8.3299999999999999E-2"/>
    <n v="3.67"/>
    <s v=" --"/>
    <n v="0"/>
  </r>
  <r>
    <x v="2"/>
    <s v="Enabled"/>
    <x v="325"/>
    <x v="2"/>
    <x v="6"/>
    <s v="Not eligible"/>
    <s v="rarely served; campaign paused"/>
    <n v="0"/>
    <s v="CAD"/>
    <n v="0"/>
    <n v="0"/>
    <n v="0"/>
    <n v="0"/>
    <s v=" --"/>
    <n v="0"/>
    <s v=" --"/>
    <n v="0"/>
  </r>
  <r>
    <x v="2"/>
    <s v="Enabled"/>
    <x v="326"/>
    <x v="1"/>
    <x v="6"/>
    <s v="Not eligible"/>
    <s v="rarely served; campaign paused"/>
    <n v="0"/>
    <s v="CAD"/>
    <n v="0"/>
    <n v="0"/>
    <n v="0"/>
    <n v="0"/>
    <s v=" --"/>
    <n v="0"/>
    <s v=" --"/>
    <n v="0"/>
  </r>
  <r>
    <x v="2"/>
    <s v="Enabled"/>
    <x v="327"/>
    <x v="2"/>
    <x v="6"/>
    <s v="Not eligible"/>
    <s v="rarely served; campaign paused"/>
    <n v="0"/>
    <s v="CAD"/>
    <n v="0"/>
    <n v="0"/>
    <n v="0"/>
    <n v="0"/>
    <s v=" --"/>
    <n v="0"/>
    <s v=" --"/>
    <n v="0"/>
  </r>
  <r>
    <x v="2"/>
    <s v="Enabled"/>
    <x v="328"/>
    <x v="0"/>
    <x v="6"/>
    <s v="Not eligible"/>
    <s v="campaign paused"/>
    <n v="0"/>
    <s v="CAD"/>
    <n v="0"/>
    <n v="1"/>
    <n v="1.61"/>
    <n v="3"/>
    <n v="0.33329999999999999"/>
    <n v="1.61"/>
    <s v=" --"/>
    <n v="0"/>
  </r>
  <r>
    <x v="2"/>
    <s v="Enabled"/>
    <x v="329"/>
    <x v="2"/>
    <x v="6"/>
    <s v="Not eligible"/>
    <s v="rarely served; campaign paused"/>
    <n v="0"/>
    <s v="CAD"/>
    <n v="0"/>
    <n v="0"/>
    <n v="0"/>
    <n v="0"/>
    <s v=" --"/>
    <n v="0"/>
    <s v=" --"/>
    <n v="0"/>
  </r>
  <r>
    <x v="2"/>
    <s v="Enabled"/>
    <x v="330"/>
    <x v="0"/>
    <x v="6"/>
    <s v="Not eligible"/>
    <s v="rarely served; campaign paused"/>
    <n v="0"/>
    <s v="CAD"/>
    <n v="0"/>
    <n v="0"/>
    <n v="0"/>
    <n v="0"/>
    <s v=" --"/>
    <n v="0"/>
    <s v=" --"/>
    <n v="0"/>
  </r>
  <r>
    <x v="2"/>
    <s v="Enabled"/>
    <x v="331"/>
    <x v="2"/>
    <x v="6"/>
    <s v="Not eligible"/>
    <s v="campaign paused"/>
    <n v="1"/>
    <s v="CAD"/>
    <n v="6.02"/>
    <n v="2"/>
    <n v="6.02"/>
    <n v="15"/>
    <n v="0.1333"/>
    <n v="3.01"/>
    <n v="5"/>
    <n v="0.5"/>
  </r>
  <r>
    <x v="2"/>
    <s v="Enabled"/>
    <x v="332"/>
    <x v="1"/>
    <x v="6"/>
    <s v="Not eligible"/>
    <s v="campaign paused"/>
    <n v="0"/>
    <s v="CAD"/>
    <n v="0"/>
    <n v="5"/>
    <n v="9.3800000000000008"/>
    <n v="96"/>
    <n v="5.21E-2"/>
    <n v="1.88"/>
    <n v="5"/>
    <n v="0"/>
  </r>
  <r>
    <x v="2"/>
    <s v="Enabled"/>
    <x v="333"/>
    <x v="1"/>
    <x v="6"/>
    <s v="Not eligible"/>
    <s v="rarely served; campaign paused"/>
    <n v="0"/>
    <s v="CAD"/>
    <n v="0"/>
    <n v="0"/>
    <n v="0"/>
    <n v="0"/>
    <s v=" --"/>
    <n v="0"/>
    <s v=" --"/>
    <n v="0"/>
  </r>
  <r>
    <x v="2"/>
    <s v="Enabled"/>
    <x v="334"/>
    <x v="0"/>
    <x v="6"/>
    <s v="Not eligible"/>
    <s v="rarely served; campaign paused"/>
    <n v="0"/>
    <s v="CAD"/>
    <n v="0"/>
    <n v="0"/>
    <n v="0"/>
    <n v="0"/>
    <s v=" --"/>
    <n v="0"/>
    <s v=" --"/>
    <n v="0"/>
  </r>
  <r>
    <x v="2"/>
    <s v="Enabled"/>
    <x v="335"/>
    <x v="1"/>
    <x v="6"/>
    <s v="Not eligible"/>
    <s v="rarely served; campaign paused"/>
    <n v="0"/>
    <s v="CAD"/>
    <n v="0"/>
    <n v="0"/>
    <n v="0"/>
    <n v="0"/>
    <s v=" --"/>
    <n v="0"/>
    <s v=" --"/>
    <n v="0"/>
  </r>
  <r>
    <x v="2"/>
    <s v="Enabled"/>
    <x v="336"/>
    <x v="1"/>
    <x v="6"/>
    <s v="Not eligible"/>
    <s v="rarely served; campaign paused"/>
    <n v="0"/>
    <s v="CAD"/>
    <n v="0"/>
    <n v="0"/>
    <n v="0"/>
    <n v="0"/>
    <s v=" --"/>
    <n v="0"/>
    <s v=" --"/>
    <n v="0"/>
  </r>
  <r>
    <x v="2"/>
    <s v="Enabled"/>
    <x v="337"/>
    <x v="2"/>
    <x v="6"/>
    <s v="Not eligible"/>
    <s v="rarely served; campaign paused"/>
    <n v="0"/>
    <s v="CAD"/>
    <n v="0"/>
    <n v="0"/>
    <n v="0"/>
    <n v="0"/>
    <s v=" --"/>
    <n v="0"/>
    <s v=" --"/>
    <n v="0"/>
  </r>
  <r>
    <x v="2"/>
    <s v="Enabled"/>
    <x v="338"/>
    <x v="0"/>
    <x v="6"/>
    <s v="Not eligible"/>
    <s v="campaign paused"/>
    <n v="1"/>
    <s v="CAD"/>
    <n v="47.15"/>
    <n v="17"/>
    <n v="47.15"/>
    <n v="244"/>
    <n v="6.9699999999999998E-2"/>
    <n v="2.77"/>
    <s v=" --"/>
    <n v="5.8799999999999998E-2"/>
  </r>
  <r>
    <x v="2"/>
    <s v="Enabled"/>
    <x v="339"/>
    <x v="0"/>
    <x v="6"/>
    <s v="Not eligible"/>
    <s v="rarely served; campaign paused"/>
    <n v="0"/>
    <s v="CAD"/>
    <n v="0"/>
    <n v="0"/>
    <n v="0"/>
    <n v="0"/>
    <s v=" --"/>
    <n v="0"/>
    <s v=" --"/>
    <n v="0"/>
  </r>
  <r>
    <x v="2"/>
    <s v="Enabled"/>
    <x v="340"/>
    <x v="1"/>
    <x v="6"/>
    <s v="Not eligible"/>
    <s v="campaign paused"/>
    <n v="0"/>
    <s v="CAD"/>
    <n v="0"/>
    <n v="0"/>
    <n v="0"/>
    <n v="6"/>
    <n v="0"/>
    <n v="0"/>
    <s v=" --"/>
    <n v="0"/>
  </r>
  <r>
    <x v="2"/>
    <s v="Enabled"/>
    <x v="341"/>
    <x v="1"/>
    <x v="6"/>
    <s v="Not eligible"/>
    <s v="rarely served; campaign paused"/>
    <n v="0"/>
    <s v="CAD"/>
    <n v="0"/>
    <n v="0"/>
    <n v="0"/>
    <n v="0"/>
    <s v=" --"/>
    <n v="0"/>
    <s v=" --"/>
    <n v="0"/>
  </r>
  <r>
    <x v="2"/>
    <s v="Enabled"/>
    <x v="342"/>
    <x v="0"/>
    <x v="6"/>
    <s v="Not eligible"/>
    <s v="rarely served; campaign paused"/>
    <n v="0"/>
    <s v="CAD"/>
    <n v="0"/>
    <n v="0"/>
    <n v="0"/>
    <n v="0"/>
    <s v=" --"/>
    <n v="0"/>
    <s v=" --"/>
    <n v="0"/>
  </r>
  <r>
    <x v="2"/>
    <s v="Enabled"/>
    <x v="343"/>
    <x v="2"/>
    <x v="6"/>
    <s v="Not eligible"/>
    <s v="campaign paused"/>
    <n v="0"/>
    <s v="CAD"/>
    <n v="0"/>
    <n v="1"/>
    <n v="1.2"/>
    <n v="7"/>
    <n v="0.1429"/>
    <n v="1.2"/>
    <s v=" --"/>
    <n v="0"/>
  </r>
  <r>
    <x v="2"/>
    <s v="Enabled"/>
    <x v="344"/>
    <x v="2"/>
    <x v="6"/>
    <s v="Not eligible"/>
    <s v="rarely served; campaign paused"/>
    <n v="0"/>
    <s v="CAD"/>
    <n v="0"/>
    <n v="0"/>
    <n v="0"/>
    <n v="0"/>
    <s v=" --"/>
    <n v="0"/>
    <s v=" --"/>
    <n v="0"/>
  </r>
  <r>
    <x v="2"/>
    <s v="Enabled"/>
    <x v="345"/>
    <x v="2"/>
    <x v="6"/>
    <s v="Not eligible"/>
    <s v="rarely served; campaign paused"/>
    <n v="0"/>
    <s v="CAD"/>
    <n v="0"/>
    <n v="0"/>
    <n v="0"/>
    <n v="0"/>
    <s v=" --"/>
    <n v="0"/>
    <s v=" --"/>
    <n v="0"/>
  </r>
  <r>
    <x v="2"/>
    <s v="Enabled"/>
    <x v="346"/>
    <x v="2"/>
    <x v="6"/>
    <s v="Not eligible"/>
    <s v="campaign paused"/>
    <n v="0"/>
    <s v="CAD"/>
    <n v="0"/>
    <n v="0"/>
    <n v="0"/>
    <n v="0"/>
    <s v=" --"/>
    <n v="0"/>
    <s v=" --"/>
    <n v="0"/>
  </r>
  <r>
    <x v="2"/>
    <s v="Enabled"/>
    <x v="347"/>
    <x v="2"/>
    <x v="1"/>
    <s v="Not eligible"/>
    <s v="rarely served; campaign paused"/>
    <n v="0"/>
    <s v="CAD"/>
    <n v="0"/>
    <n v="0"/>
    <n v="0"/>
    <n v="0"/>
    <s v=" --"/>
    <n v="0"/>
    <s v=" --"/>
    <n v="0"/>
  </r>
  <r>
    <x v="2"/>
    <s v="Enabled"/>
    <x v="348"/>
    <x v="2"/>
    <x v="1"/>
    <s v="Not eligible"/>
    <s v="campaign paused"/>
    <n v="0"/>
    <s v="CAD"/>
    <n v="0"/>
    <n v="1"/>
    <n v="2.58"/>
    <n v="47"/>
    <n v="2.1299999999999999E-2"/>
    <n v="2.58"/>
    <n v="3"/>
    <n v="0"/>
  </r>
  <r>
    <x v="2"/>
    <s v="Enabled"/>
    <x v="349"/>
    <x v="2"/>
    <x v="1"/>
    <s v="Not eligible"/>
    <s v="campaign paused"/>
    <n v="2"/>
    <s v="CAD"/>
    <n v="1.83"/>
    <n v="2"/>
    <n v="3.66"/>
    <n v="27"/>
    <n v="7.4099999999999999E-2"/>
    <n v="1.83"/>
    <s v=" --"/>
    <n v="1"/>
  </r>
  <r>
    <x v="2"/>
    <s v="Enabled"/>
    <x v="350"/>
    <x v="0"/>
    <x v="1"/>
    <s v="Not eligible"/>
    <s v="campaign paused"/>
    <n v="0"/>
    <s v="CAD"/>
    <n v="0"/>
    <n v="0"/>
    <n v="0"/>
    <n v="0"/>
    <s v=" --"/>
    <n v="0"/>
    <s v=" --"/>
    <n v="0"/>
  </r>
  <r>
    <x v="2"/>
    <s v="Enabled"/>
    <x v="351"/>
    <x v="0"/>
    <x v="1"/>
    <s v="Not eligible"/>
    <s v="campaign paused"/>
    <n v="7.67"/>
    <s v="CAD"/>
    <n v="46.95"/>
    <n v="133"/>
    <n v="359.96"/>
    <n v="4231"/>
    <n v="3.1399999999999997E-2"/>
    <n v="2.71"/>
    <s v=" --"/>
    <n v="5.7599999999999998E-2"/>
  </r>
  <r>
    <x v="2"/>
    <s v="Enabled"/>
    <x v="352"/>
    <x v="2"/>
    <x v="1"/>
    <s v="Not eligible"/>
    <s v="rarely served; campaign paused"/>
    <n v="0"/>
    <s v="CAD"/>
    <n v="0"/>
    <n v="0"/>
    <n v="0"/>
    <n v="0"/>
    <s v=" --"/>
    <n v="0"/>
    <s v=" --"/>
    <n v="0"/>
  </r>
  <r>
    <x v="2"/>
    <s v="Paused"/>
    <x v="353"/>
    <x v="0"/>
    <x v="1"/>
    <s v="Paused"/>
    <s v="paused; low quality; campaign paused"/>
    <n v="2"/>
    <s v="CAD"/>
    <n v="55.29"/>
    <n v="48"/>
    <n v="110.57"/>
    <n v="4176"/>
    <n v="1.15E-2"/>
    <n v="2.2999999999999998"/>
    <n v="1"/>
    <n v="4.1700000000000001E-2"/>
  </r>
  <r>
    <x v="2"/>
    <s v="Enabled"/>
    <x v="354"/>
    <x v="0"/>
    <x v="1"/>
    <s v="Not eligible"/>
    <s v="campaign paused"/>
    <n v="3"/>
    <s v="CAD"/>
    <n v="27.85"/>
    <n v="40"/>
    <n v="83.56"/>
    <n v="2204"/>
    <n v="1.8100000000000002E-2"/>
    <n v="2.09"/>
    <s v=" --"/>
    <n v="7.4999999999999997E-2"/>
  </r>
  <r>
    <x v="2"/>
    <s v="Enabled"/>
    <x v="355"/>
    <x v="0"/>
    <x v="1"/>
    <s v="Not eligible"/>
    <s v="campaign paused"/>
    <n v="0"/>
    <s v="CAD"/>
    <n v="0"/>
    <n v="5"/>
    <n v="13.34"/>
    <n v="44"/>
    <n v="0.11360000000000001"/>
    <n v="2.67"/>
    <n v="3"/>
    <n v="0"/>
  </r>
  <r>
    <x v="2"/>
    <s v="Enabled"/>
    <x v="356"/>
    <x v="0"/>
    <x v="1"/>
    <s v="Not eligible"/>
    <s v="rarely served; campaign paused"/>
    <n v="0"/>
    <s v="CAD"/>
    <n v="0"/>
    <n v="0"/>
    <n v="0"/>
    <n v="0"/>
    <s v=" --"/>
    <n v="0"/>
    <s v=" --"/>
    <n v="0"/>
  </r>
  <r>
    <x v="2"/>
    <s v="Enabled"/>
    <x v="357"/>
    <x v="0"/>
    <x v="1"/>
    <s v="Not eligible"/>
    <s v="rarely served; campaign paused"/>
    <n v="0"/>
    <s v="CAD"/>
    <n v="0"/>
    <n v="0"/>
    <n v="0"/>
    <n v="0"/>
    <s v=" --"/>
    <n v="0"/>
    <s v=" --"/>
    <n v="0"/>
  </r>
  <r>
    <x v="2"/>
    <s v="Paused"/>
    <x v="358"/>
    <x v="2"/>
    <x v="1"/>
    <s v="Paused"/>
    <s v="paused; campaign paused"/>
    <n v="3"/>
    <s v="CAD"/>
    <n v="5.82"/>
    <n v="7"/>
    <n v="17.45"/>
    <n v="426"/>
    <n v="1.6400000000000001E-2"/>
    <n v="2.4900000000000002"/>
    <s v=" --"/>
    <n v="0.42859999999999998"/>
  </r>
  <r>
    <x v="2"/>
    <s v="Enabled"/>
    <x v="359"/>
    <x v="2"/>
    <x v="1"/>
    <s v="Not eligible"/>
    <s v="campaign paused"/>
    <n v="0"/>
    <s v="CAD"/>
    <n v="0"/>
    <n v="2"/>
    <n v="5.39"/>
    <n v="146"/>
    <n v="1.37E-2"/>
    <n v="2.7"/>
    <s v=" --"/>
    <n v="0"/>
  </r>
  <r>
    <x v="2"/>
    <s v="Enabled"/>
    <x v="360"/>
    <x v="1"/>
    <x v="1"/>
    <s v="Not eligible"/>
    <s v="campaign paused"/>
    <n v="0"/>
    <s v="CAD"/>
    <n v="0"/>
    <n v="0"/>
    <n v="0"/>
    <n v="1"/>
    <n v="0"/>
    <n v="0"/>
    <s v=" --"/>
    <n v="0"/>
  </r>
  <r>
    <x v="2"/>
    <s v="Enabled"/>
    <x v="361"/>
    <x v="1"/>
    <x v="1"/>
    <s v="Not eligible"/>
    <s v="campaign paused"/>
    <n v="0"/>
    <s v="CAD"/>
    <n v="0"/>
    <n v="0"/>
    <n v="0"/>
    <n v="0"/>
    <s v=" --"/>
    <n v="0"/>
    <n v="3"/>
    <n v="0"/>
  </r>
  <r>
    <x v="2"/>
    <s v="Enabled"/>
    <x v="362"/>
    <x v="0"/>
    <x v="1"/>
    <s v="Not eligible"/>
    <s v="rarely served; campaign paused"/>
    <n v="0"/>
    <s v="CAD"/>
    <n v="0"/>
    <n v="0"/>
    <n v="0"/>
    <n v="0"/>
    <s v=" --"/>
    <n v="0"/>
    <s v=" --"/>
    <n v="0"/>
  </r>
  <r>
    <x v="2"/>
    <s v="Enabled"/>
    <x v="363"/>
    <x v="1"/>
    <x v="1"/>
    <s v="Not eligible"/>
    <s v="rarely served; campaign paused"/>
    <n v="0"/>
    <s v="CAD"/>
    <n v="0"/>
    <n v="0"/>
    <n v="0"/>
    <n v="0"/>
    <s v=" --"/>
    <n v="0"/>
    <s v=" --"/>
    <n v="0"/>
  </r>
  <r>
    <x v="2"/>
    <s v="Paused"/>
    <x v="364"/>
    <x v="0"/>
    <x v="1"/>
    <s v="Paused"/>
    <s v="paused; campaign paused"/>
    <n v="0"/>
    <s v="CAD"/>
    <n v="0"/>
    <n v="9"/>
    <n v="37.369999999999997"/>
    <n v="364"/>
    <n v="2.47E-2"/>
    <n v="4.1500000000000004"/>
    <s v=" --"/>
    <n v="0"/>
  </r>
  <r>
    <x v="2"/>
    <s v="Enabled"/>
    <x v="365"/>
    <x v="2"/>
    <x v="1"/>
    <s v="Not eligible"/>
    <s v="rarely served; campaign paused"/>
    <n v="0"/>
    <s v="CAD"/>
    <n v="0"/>
    <n v="0"/>
    <n v="0"/>
    <n v="0"/>
    <s v=" --"/>
    <n v="0"/>
    <s v=" --"/>
    <n v="0"/>
  </r>
  <r>
    <x v="2"/>
    <s v="Paused"/>
    <x v="366"/>
    <x v="2"/>
    <x v="1"/>
    <s v="Paused"/>
    <s v="paused; low quality; campaign paused"/>
    <n v="0"/>
    <s v="CAD"/>
    <n v="0"/>
    <n v="0"/>
    <n v="0"/>
    <n v="23"/>
    <n v="0"/>
    <n v="0"/>
    <n v="1"/>
    <n v="0"/>
  </r>
  <r>
    <x v="2"/>
    <s v="Enabled"/>
    <x v="367"/>
    <x v="1"/>
    <x v="1"/>
    <s v="Not eligible"/>
    <s v="campaign paused"/>
    <n v="0"/>
    <s v="CAD"/>
    <n v="0"/>
    <n v="0"/>
    <n v="0"/>
    <n v="42"/>
    <n v="0"/>
    <n v="0"/>
    <s v=" --"/>
    <n v="0"/>
  </r>
  <r>
    <x v="2"/>
    <s v="Paused"/>
    <x v="368"/>
    <x v="0"/>
    <x v="1"/>
    <s v="Paused"/>
    <s v="paused; campaign paused"/>
    <n v="1"/>
    <s v="CAD"/>
    <n v="62.92"/>
    <n v="32"/>
    <n v="62.92"/>
    <n v="1984"/>
    <n v="1.61E-2"/>
    <n v="1.97"/>
    <s v=" --"/>
    <n v="3.1300000000000001E-2"/>
  </r>
  <r>
    <x v="2"/>
    <s v="Enabled"/>
    <x v="369"/>
    <x v="1"/>
    <x v="1"/>
    <s v="Not eligible"/>
    <s v="campaign paused"/>
    <n v="0"/>
    <s v="CAD"/>
    <n v="0"/>
    <n v="0"/>
    <n v="0"/>
    <n v="11"/>
    <n v="0"/>
    <n v="0"/>
    <s v=" --"/>
    <n v="0"/>
  </r>
  <r>
    <x v="2"/>
    <s v="Paused"/>
    <x v="370"/>
    <x v="1"/>
    <x v="1"/>
    <s v="Paused"/>
    <s v="paused; low quality; campaign paused"/>
    <n v="0"/>
    <s v="CAD"/>
    <n v="0"/>
    <n v="0"/>
    <n v="0"/>
    <n v="1"/>
    <n v="0"/>
    <n v="0"/>
    <n v="1"/>
    <n v="0"/>
  </r>
  <r>
    <x v="2"/>
    <s v="Enabled"/>
    <x v="371"/>
    <x v="1"/>
    <x v="1"/>
    <s v="Not eligible"/>
    <s v="rarely served; campaign paused"/>
    <n v="0"/>
    <s v="CAD"/>
    <n v="0"/>
    <n v="0"/>
    <n v="0"/>
    <n v="0"/>
    <s v=" --"/>
    <n v="0"/>
    <s v=" --"/>
    <n v="0"/>
  </r>
  <r>
    <x v="2"/>
    <s v="Enabled"/>
    <x v="372"/>
    <x v="1"/>
    <x v="1"/>
    <s v="Not eligible"/>
    <s v="rarely served; campaign paused"/>
    <n v="0"/>
    <s v="CAD"/>
    <n v="0"/>
    <n v="0"/>
    <n v="0"/>
    <n v="0"/>
    <s v=" --"/>
    <n v="0"/>
    <s v=" --"/>
    <n v="0"/>
  </r>
  <r>
    <x v="2"/>
    <s v="Enabled"/>
    <x v="373"/>
    <x v="2"/>
    <x v="7"/>
    <s v="Not eligible"/>
    <s v="ad group paused; campaign paused"/>
    <n v="0"/>
    <s v="CAD"/>
    <n v="0"/>
    <n v="0"/>
    <n v="0"/>
    <n v="0"/>
    <s v=" --"/>
    <n v="0"/>
    <s v=" --"/>
    <n v="0"/>
  </r>
  <r>
    <x v="2"/>
    <s v="Enabled"/>
    <x v="374"/>
    <x v="2"/>
    <x v="7"/>
    <s v="Not eligible"/>
    <s v="ad group paused; campaign paused"/>
    <n v="0"/>
    <s v="CAD"/>
    <n v="0"/>
    <n v="0"/>
    <n v="0"/>
    <n v="0"/>
    <s v=" --"/>
    <n v="0"/>
    <s v=" --"/>
    <n v="0"/>
  </r>
  <r>
    <x v="2"/>
    <s v="Enabled"/>
    <x v="375"/>
    <x v="2"/>
    <x v="7"/>
    <s v="Not eligible"/>
    <s v="rarely served; ad group paused; campaign paused"/>
    <n v="0"/>
    <s v="CAD"/>
    <n v="0"/>
    <n v="0"/>
    <n v="0"/>
    <n v="0"/>
    <s v=" --"/>
    <n v="0"/>
    <s v=" --"/>
    <n v="0"/>
  </r>
  <r>
    <x v="2"/>
    <s v="Enabled"/>
    <x v="376"/>
    <x v="0"/>
    <x v="7"/>
    <s v="Not eligible"/>
    <s v="ad group paused; campaign paused"/>
    <n v="0"/>
    <s v="CAD"/>
    <n v="0"/>
    <n v="0"/>
    <n v="0"/>
    <n v="0"/>
    <s v=" --"/>
    <n v="0"/>
    <s v=" --"/>
    <n v="0"/>
  </r>
  <r>
    <x v="2"/>
    <s v="Enabled"/>
    <x v="377"/>
    <x v="1"/>
    <x v="7"/>
    <s v="Not eligible"/>
    <s v="ad group paused; campaign paused"/>
    <n v="0"/>
    <s v="CAD"/>
    <n v="0"/>
    <n v="0"/>
    <n v="0"/>
    <n v="0"/>
    <s v=" --"/>
    <n v="0"/>
    <s v=" --"/>
    <n v="0"/>
  </r>
  <r>
    <x v="2"/>
    <s v="Enabled"/>
    <x v="378"/>
    <x v="1"/>
    <x v="7"/>
    <s v="Not eligible"/>
    <s v="ad group paused; campaign paused"/>
    <n v="0"/>
    <s v="CAD"/>
    <n v="0"/>
    <n v="0"/>
    <n v="0"/>
    <n v="0"/>
    <s v=" --"/>
    <n v="0"/>
    <s v=" --"/>
    <n v="0"/>
  </r>
  <r>
    <x v="2"/>
    <s v="Enabled"/>
    <x v="379"/>
    <x v="1"/>
    <x v="7"/>
    <s v="Not eligible"/>
    <s v="ad group paused; campaign paused"/>
    <n v="0"/>
    <s v="CAD"/>
    <n v="0"/>
    <n v="0"/>
    <n v="0"/>
    <n v="0"/>
    <s v=" --"/>
    <n v="0"/>
    <s v=" --"/>
    <n v="0"/>
  </r>
  <r>
    <x v="2"/>
    <s v="Enabled"/>
    <x v="380"/>
    <x v="0"/>
    <x v="7"/>
    <s v="Not eligible"/>
    <s v="rarely served; ad group paused; campaign paused"/>
    <n v="0"/>
    <s v="CAD"/>
    <n v="0"/>
    <n v="0"/>
    <n v="0"/>
    <n v="0"/>
    <s v=" --"/>
    <n v="0"/>
    <s v=" --"/>
    <n v="0"/>
  </r>
  <r>
    <x v="2"/>
    <s v="Enabled"/>
    <x v="381"/>
    <x v="0"/>
    <x v="7"/>
    <s v="Not eligible"/>
    <s v="rarely served; ad group paused; campaign paused"/>
    <n v="0"/>
    <s v="CAD"/>
    <n v="0"/>
    <n v="0"/>
    <n v="0"/>
    <n v="0"/>
    <s v=" --"/>
    <n v="0"/>
    <s v=" --"/>
    <n v="0"/>
  </r>
  <r>
    <x v="2"/>
    <s v="Enabled"/>
    <x v="382"/>
    <x v="0"/>
    <x v="7"/>
    <s v="Not eligible"/>
    <s v="rarely served; ad group paused; campaign paused"/>
    <n v="0"/>
    <s v="CAD"/>
    <n v="0"/>
    <n v="0"/>
    <n v="0"/>
    <n v="0"/>
    <s v=" --"/>
    <n v="0"/>
    <s v=" --"/>
    <n v="0"/>
  </r>
  <r>
    <x v="2"/>
    <s v="Enabled"/>
    <x v="383"/>
    <x v="2"/>
    <x v="7"/>
    <s v="Not eligible"/>
    <s v="rarely served; ad group paused; campaign paused"/>
    <n v="0"/>
    <s v="CAD"/>
    <n v="0"/>
    <n v="0"/>
    <n v="0"/>
    <n v="0"/>
    <s v=" --"/>
    <n v="0"/>
    <s v=" --"/>
    <n v="0"/>
  </r>
  <r>
    <x v="2"/>
    <s v="Enabled"/>
    <x v="384"/>
    <x v="0"/>
    <x v="7"/>
    <s v="Not eligible"/>
    <s v="rarely served; ad group paused; campaign paused"/>
    <n v="0"/>
    <s v="CAD"/>
    <n v="0"/>
    <n v="0"/>
    <n v="0"/>
    <n v="0"/>
    <s v=" --"/>
    <n v="0"/>
    <s v=" --"/>
    <n v="0"/>
  </r>
  <r>
    <x v="2"/>
    <s v="Enabled"/>
    <x v="385"/>
    <x v="0"/>
    <x v="7"/>
    <s v="Not eligible"/>
    <s v="ad group paused; campaign paused"/>
    <n v="0"/>
    <s v="CAD"/>
    <n v="0"/>
    <n v="0"/>
    <n v="0"/>
    <n v="0"/>
    <s v=" --"/>
    <n v="0"/>
    <s v=" --"/>
    <n v="0"/>
  </r>
  <r>
    <x v="2"/>
    <s v="Enabled"/>
    <x v="386"/>
    <x v="1"/>
    <x v="7"/>
    <s v="Not eligible"/>
    <s v="rarely served; ad group paused; campaign paused"/>
    <n v="0"/>
    <s v="CAD"/>
    <n v="0"/>
    <n v="0"/>
    <n v="0"/>
    <n v="0"/>
    <s v=" --"/>
    <n v="0"/>
    <s v=" --"/>
    <n v="0"/>
  </r>
  <r>
    <x v="2"/>
    <s v="Enabled"/>
    <x v="387"/>
    <x v="0"/>
    <x v="7"/>
    <s v="Not eligible"/>
    <s v="ad group paused; campaign paused"/>
    <n v="0"/>
    <s v="CAD"/>
    <n v="0"/>
    <n v="0"/>
    <n v="0"/>
    <n v="0"/>
    <s v=" --"/>
    <n v="0"/>
    <s v=" --"/>
    <n v="0"/>
  </r>
  <r>
    <x v="2"/>
    <s v="Enabled"/>
    <x v="388"/>
    <x v="1"/>
    <x v="7"/>
    <s v="Not eligible"/>
    <s v="rarely served; ad group paused; campaign paused"/>
    <n v="0"/>
    <s v="CAD"/>
    <n v="0"/>
    <n v="0"/>
    <n v="0"/>
    <n v="0"/>
    <s v=" --"/>
    <n v="0"/>
    <s v=" --"/>
    <n v="0"/>
  </r>
  <r>
    <x v="2"/>
    <s v="Enabled"/>
    <x v="389"/>
    <x v="1"/>
    <x v="7"/>
    <s v="Not eligible"/>
    <s v="ad group paused; campaign paused"/>
    <n v="0"/>
    <s v="CAD"/>
    <n v="0"/>
    <n v="0"/>
    <n v="0"/>
    <n v="0"/>
    <s v=" --"/>
    <n v="0"/>
    <s v=" --"/>
    <n v="0"/>
  </r>
  <r>
    <x v="2"/>
    <s v="Enabled"/>
    <x v="390"/>
    <x v="2"/>
    <x v="7"/>
    <s v="Not eligible"/>
    <s v="rarely served; ad group paused; campaign paused"/>
    <n v="0"/>
    <s v="CAD"/>
    <n v="0"/>
    <n v="0"/>
    <n v="0"/>
    <n v="0"/>
    <s v=" --"/>
    <n v="0"/>
    <s v=" --"/>
    <n v="0"/>
  </r>
  <r>
    <x v="2"/>
    <s v="Enabled"/>
    <x v="391"/>
    <x v="0"/>
    <x v="7"/>
    <s v="Not eligible"/>
    <s v="ad group paused; campaign paused"/>
    <n v="0"/>
    <s v="CAD"/>
    <n v="0"/>
    <n v="0"/>
    <n v="0"/>
    <n v="0"/>
    <s v=" --"/>
    <n v="0"/>
    <s v=" --"/>
    <n v="0"/>
  </r>
  <r>
    <x v="2"/>
    <s v="Enabled"/>
    <x v="392"/>
    <x v="2"/>
    <x v="7"/>
    <s v="Not eligible"/>
    <s v="rarely served; ad group paused; campaign paused"/>
    <n v="0"/>
    <s v="CAD"/>
    <n v="0"/>
    <n v="0"/>
    <n v="0"/>
    <n v="0"/>
    <s v=" --"/>
    <n v="0"/>
    <s v=" --"/>
    <n v="0"/>
  </r>
  <r>
    <x v="2"/>
    <s v="Enabled"/>
    <x v="393"/>
    <x v="1"/>
    <x v="7"/>
    <s v="Not eligible"/>
    <s v="rarely served; ad group paused; campaign paused"/>
    <n v="0"/>
    <s v="CAD"/>
    <n v="0"/>
    <n v="0"/>
    <n v="0"/>
    <n v="0"/>
    <s v=" --"/>
    <n v="0"/>
    <s v=" --"/>
    <n v="0"/>
  </r>
  <r>
    <x v="2"/>
    <s v="Enabled"/>
    <x v="394"/>
    <x v="0"/>
    <x v="7"/>
    <s v="Not eligible"/>
    <s v="rarely served; ad group paused; campaign paused"/>
    <n v="0"/>
    <s v="CAD"/>
    <n v="0"/>
    <n v="0"/>
    <n v="0"/>
    <n v="0"/>
    <s v=" --"/>
    <n v="0"/>
    <s v=" --"/>
    <n v="0"/>
  </r>
  <r>
    <x v="2"/>
    <s v="Enabled"/>
    <x v="395"/>
    <x v="2"/>
    <x v="7"/>
    <s v="Not eligible"/>
    <s v="ad group paused; campaign paused"/>
    <n v="0"/>
    <s v="CAD"/>
    <n v="0"/>
    <n v="0"/>
    <n v="0"/>
    <n v="0"/>
    <s v=" --"/>
    <n v="0"/>
    <s v=" --"/>
    <n v="0"/>
  </r>
  <r>
    <x v="2"/>
    <s v="Enabled"/>
    <x v="396"/>
    <x v="1"/>
    <x v="7"/>
    <s v="Not eligible"/>
    <s v="rarely served; ad group paused; campaign paused"/>
    <n v="0"/>
    <s v="CAD"/>
    <n v="0"/>
    <n v="0"/>
    <n v="0"/>
    <n v="0"/>
    <s v=" --"/>
    <n v="0"/>
    <s v=" --"/>
    <n v="0"/>
  </r>
  <r>
    <x v="2"/>
    <s v="Enabled"/>
    <x v="397"/>
    <x v="2"/>
    <x v="7"/>
    <s v="Not eligible"/>
    <s v="ad group paused; campaign paused"/>
    <n v="0"/>
    <s v="CAD"/>
    <n v="0"/>
    <n v="0"/>
    <n v="0"/>
    <n v="0"/>
    <s v=" --"/>
    <n v="0"/>
    <s v=" --"/>
    <n v="0"/>
  </r>
  <r>
    <x v="2"/>
    <s v="Enabled"/>
    <x v="398"/>
    <x v="1"/>
    <x v="7"/>
    <s v="Not eligible"/>
    <s v="ad group paused; campaign paused"/>
    <n v="0"/>
    <s v="CAD"/>
    <n v="0"/>
    <n v="0"/>
    <n v="0"/>
    <n v="0"/>
    <s v=" --"/>
    <n v="0"/>
    <s v=" --"/>
    <n v="0"/>
  </r>
  <r>
    <x v="2"/>
    <s v="Enabled"/>
    <x v="399"/>
    <x v="2"/>
    <x v="7"/>
    <s v="Not eligible"/>
    <s v="ad group paused; campaign paused"/>
    <n v="0"/>
    <s v="CAD"/>
    <n v="0"/>
    <n v="0"/>
    <n v="0"/>
    <n v="0"/>
    <s v=" --"/>
    <n v="0"/>
    <s v=" --"/>
    <n v="0"/>
  </r>
  <r>
    <x v="2"/>
    <s v="Enabled"/>
    <x v="400"/>
    <x v="1"/>
    <x v="7"/>
    <s v="Not eligible"/>
    <s v="rarely served; ad group paused; campaign paused"/>
    <n v="0"/>
    <s v="CAD"/>
    <n v="0"/>
    <n v="0"/>
    <n v="0"/>
    <n v="0"/>
    <s v=" --"/>
    <n v="0"/>
    <s v=" --"/>
    <n v="0"/>
  </r>
  <r>
    <x v="2"/>
    <s v="Enabled"/>
    <x v="401"/>
    <x v="0"/>
    <x v="7"/>
    <s v="Not eligible"/>
    <s v="ad group paused; campaign paused"/>
    <n v="0"/>
    <s v="CAD"/>
    <n v="0"/>
    <n v="0"/>
    <n v="0"/>
    <n v="0"/>
    <s v=" --"/>
    <n v="0"/>
    <s v=" --"/>
    <n v="0"/>
  </r>
  <r>
    <x v="2"/>
    <s v="Enabled"/>
    <x v="402"/>
    <x v="2"/>
    <x v="7"/>
    <s v="Not eligible"/>
    <s v="rarely served; ad group paused; campaign paused"/>
    <n v="0"/>
    <s v="CAD"/>
    <n v="0"/>
    <n v="0"/>
    <n v="0"/>
    <n v="0"/>
    <s v=" --"/>
    <n v="0"/>
    <s v=" --"/>
    <n v="0"/>
  </r>
  <r>
    <x v="2"/>
    <s v="Enabled"/>
    <x v="403"/>
    <x v="1"/>
    <x v="7"/>
    <s v="Not eligible"/>
    <s v="rarely served; ad group paused; campaign paused"/>
    <n v="0"/>
    <s v="CAD"/>
    <n v="0"/>
    <n v="0"/>
    <n v="0"/>
    <n v="0"/>
    <s v=" --"/>
    <n v="0"/>
    <s v=" --"/>
    <n v="0"/>
  </r>
  <r>
    <x v="2"/>
    <s v="Enabled"/>
    <x v="404"/>
    <x v="2"/>
    <x v="7"/>
    <s v="Not eligible"/>
    <s v="rarely served; ad group paused; campaign paused"/>
    <n v="0"/>
    <s v="CAD"/>
    <n v="0"/>
    <n v="0"/>
    <n v="0"/>
    <n v="0"/>
    <s v=" --"/>
    <n v="0"/>
    <s v=" --"/>
    <n v="0"/>
  </r>
  <r>
    <x v="2"/>
    <s v="Enabled"/>
    <x v="405"/>
    <x v="1"/>
    <x v="7"/>
    <s v="Not eligible"/>
    <s v="ad group paused; campaign paused"/>
    <n v="0"/>
    <s v="CAD"/>
    <n v="0"/>
    <n v="0"/>
    <n v="0"/>
    <n v="0"/>
    <s v=" --"/>
    <n v="0"/>
    <s v=" --"/>
    <n v="0"/>
  </r>
  <r>
    <x v="2"/>
    <s v="Enabled"/>
    <x v="406"/>
    <x v="0"/>
    <x v="7"/>
    <s v="Not eligible"/>
    <s v="ad group paused; campaign paused"/>
    <n v="0"/>
    <s v="CAD"/>
    <n v="0"/>
    <n v="0"/>
    <n v="0"/>
    <n v="0"/>
    <s v=" --"/>
    <n v="0"/>
    <s v=" --"/>
    <n v="0"/>
  </r>
  <r>
    <x v="2"/>
    <s v="Enabled"/>
    <x v="407"/>
    <x v="1"/>
    <x v="7"/>
    <s v="Not eligible"/>
    <s v="ad group paused; campaign paused"/>
    <n v="0"/>
    <s v="CAD"/>
    <n v="0"/>
    <n v="0"/>
    <n v="0"/>
    <n v="0"/>
    <s v=" --"/>
    <n v="0"/>
    <s v=" --"/>
    <n v="0"/>
  </r>
  <r>
    <x v="2"/>
    <s v="Enabled"/>
    <x v="408"/>
    <x v="0"/>
    <x v="7"/>
    <s v="Not eligible"/>
    <s v="ad group paused; campaign paused"/>
    <n v="0"/>
    <s v="CAD"/>
    <n v="0"/>
    <n v="0"/>
    <n v="0"/>
    <n v="0"/>
    <s v=" --"/>
    <n v="0"/>
    <s v=" --"/>
    <n v="0"/>
  </r>
  <r>
    <x v="2"/>
    <s v="Enabled"/>
    <x v="409"/>
    <x v="2"/>
    <x v="7"/>
    <s v="Not eligible"/>
    <s v="ad group paused; campaign paused"/>
    <n v="0"/>
    <s v="CAD"/>
    <n v="0"/>
    <n v="0"/>
    <n v="0"/>
    <n v="0"/>
    <s v=" --"/>
    <n v="0"/>
    <s v=" --"/>
    <n v="0"/>
  </r>
  <r>
    <x v="2"/>
    <s v="Enabled"/>
    <x v="410"/>
    <x v="0"/>
    <x v="7"/>
    <s v="Not eligible"/>
    <s v="rarely served; ad group paused; campaign paused"/>
    <n v="0"/>
    <s v="CAD"/>
    <n v="0"/>
    <n v="0"/>
    <n v="0"/>
    <n v="0"/>
    <s v=" --"/>
    <n v="0"/>
    <s v=" --"/>
    <n v="0"/>
  </r>
  <r>
    <x v="2"/>
    <s v="Enabled"/>
    <x v="411"/>
    <x v="2"/>
    <x v="7"/>
    <s v="Not eligible"/>
    <s v="ad group paused; campaign paused"/>
    <n v="0"/>
    <s v="CAD"/>
    <n v="0"/>
    <n v="0"/>
    <n v="0"/>
    <n v="0"/>
    <s v=" --"/>
    <n v="0"/>
    <s v=" --"/>
    <n v="0"/>
  </r>
  <r>
    <x v="2"/>
    <s v="Enabled"/>
    <x v="412"/>
    <x v="0"/>
    <x v="7"/>
    <s v="Not eligible"/>
    <s v="rarely served; ad group paused; campaign paused"/>
    <n v="0"/>
    <s v="CAD"/>
    <n v="0"/>
    <n v="0"/>
    <n v="0"/>
    <n v="0"/>
    <s v=" --"/>
    <n v="0"/>
    <s v=" --"/>
    <n v="0"/>
  </r>
  <r>
    <x v="2"/>
    <s v="Enabled"/>
    <x v="413"/>
    <x v="0"/>
    <x v="7"/>
    <s v="Not eligible"/>
    <s v="ad group paused; campaign paused"/>
    <n v="0"/>
    <s v="CAD"/>
    <n v="0"/>
    <n v="0"/>
    <n v="0"/>
    <n v="0"/>
    <s v=" --"/>
    <n v="0"/>
    <s v=" --"/>
    <n v="0"/>
  </r>
  <r>
    <x v="2"/>
    <s v="Enabled"/>
    <x v="414"/>
    <x v="1"/>
    <x v="7"/>
    <s v="Not eligible"/>
    <s v="rarely served; ad group paused; campaign paused"/>
    <n v="0"/>
    <s v="CAD"/>
    <n v="0"/>
    <n v="0"/>
    <n v="0"/>
    <n v="0"/>
    <s v=" --"/>
    <n v="0"/>
    <s v=" --"/>
    <n v="0"/>
  </r>
  <r>
    <x v="2"/>
    <s v="Enabled"/>
    <x v="415"/>
    <x v="2"/>
    <x v="7"/>
    <s v="Not eligible"/>
    <s v="rarely served; ad group paused; campaign paused"/>
    <n v="0"/>
    <s v="CAD"/>
    <n v="0"/>
    <n v="0"/>
    <n v="0"/>
    <n v="0"/>
    <s v=" --"/>
    <n v="0"/>
    <s v=" --"/>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n v="0"/>
    <s v="CAD"/>
    <n v="0"/>
    <n v="3"/>
    <n v="49"/>
    <n v="6.1199999999999997E-2"/>
    <n v="8.1"/>
    <n v="24.3"/>
    <n v="0"/>
  </r>
  <r>
    <x v="0"/>
    <x v="1"/>
    <n v="23"/>
    <s v="CAD"/>
    <n v="28.75"/>
    <n v="161"/>
    <n v="3597"/>
    <n v="4.48E-2"/>
    <n v="4.1100000000000003"/>
    <n v="661.27"/>
    <n v="0.1429"/>
  </r>
  <r>
    <x v="0"/>
    <x v="2"/>
    <n v="0"/>
    <s v="CAD"/>
    <n v="0"/>
    <n v="0"/>
    <n v="14"/>
    <n v="0"/>
    <n v="0"/>
    <n v="0"/>
    <n v="0"/>
  </r>
  <r>
    <x v="0"/>
    <x v="3"/>
    <n v="0"/>
    <s v="CAD"/>
    <n v="0"/>
    <n v="71"/>
    <n v="2519"/>
    <n v="2.8199999999999999E-2"/>
    <n v="3.81"/>
    <n v="270.5"/>
    <n v="0"/>
  </r>
  <r>
    <x v="0"/>
    <x v="4"/>
    <n v="0"/>
    <s v="CAD"/>
    <n v="0"/>
    <n v="8"/>
    <n v="148"/>
    <n v="5.4100000000000002E-2"/>
    <n v="3.17"/>
    <n v="25.36"/>
    <n v="0"/>
  </r>
  <r>
    <x v="0"/>
    <x v="5"/>
    <n v="4"/>
    <s v="CAD"/>
    <n v="99.2"/>
    <n v="82"/>
    <n v="1579"/>
    <n v="5.1900000000000002E-2"/>
    <n v="4.84"/>
    <n v="396.8"/>
    <n v="4.8800000000000003E-2"/>
  </r>
  <r>
    <x v="0"/>
    <x v="6"/>
    <n v="4"/>
    <s v="CAD"/>
    <n v="77.62"/>
    <n v="66"/>
    <n v="1283"/>
    <n v="5.1400000000000001E-2"/>
    <n v="4.7"/>
    <n v="310.48"/>
    <n v="6.0600000000000001E-2"/>
  </r>
  <r>
    <x v="1"/>
    <x v="3"/>
    <n v="0"/>
    <s v="CAD"/>
    <n v="0"/>
    <n v="12"/>
    <n v="281"/>
    <n v="4.2700000000000002E-2"/>
    <n v="2.66"/>
    <n v="31.88"/>
    <n v="0"/>
  </r>
  <r>
    <x v="1"/>
    <x v="6"/>
    <n v="1"/>
    <s v="CAD"/>
    <n v="44.87"/>
    <n v="19"/>
    <n v="208"/>
    <n v="9.1300000000000006E-2"/>
    <n v="2.36"/>
    <n v="44.87"/>
    <n v="5.2600000000000001E-2"/>
  </r>
  <r>
    <x v="1"/>
    <x v="5"/>
    <n v="1"/>
    <s v="CAD"/>
    <n v="79.58"/>
    <n v="20"/>
    <n v="313"/>
    <n v="6.3899999999999998E-2"/>
    <n v="3.98"/>
    <n v="79.58"/>
    <n v="0.05"/>
  </r>
  <r>
    <x v="1"/>
    <x v="7"/>
    <n v="0"/>
    <s v="CAD"/>
    <n v="0"/>
    <n v="0"/>
    <n v="0"/>
    <s v=" --"/>
    <n v="0"/>
    <n v="0"/>
    <n v="0"/>
  </r>
  <r>
    <x v="1"/>
    <x v="1"/>
    <n v="4"/>
    <s v="CAD"/>
    <n v="37.57"/>
    <n v="55"/>
    <n v="683"/>
    <n v="8.0500000000000002E-2"/>
    <n v="2.73"/>
    <n v="150.27000000000001"/>
    <n v="7.2700000000000001E-2"/>
  </r>
  <r>
    <x v="1"/>
    <x v="4"/>
    <n v="0"/>
    <s v="CAD"/>
    <n v="0"/>
    <n v="0"/>
    <n v="0"/>
    <s v=" --"/>
    <n v="0"/>
    <n v="0"/>
    <n v="0"/>
  </r>
  <r>
    <x v="1"/>
    <x v="0"/>
    <n v="0"/>
    <s v="CAD"/>
    <n v="0"/>
    <n v="0"/>
    <n v="0"/>
    <s v=" --"/>
    <n v="0"/>
    <n v="0"/>
    <n v="0"/>
  </r>
  <r>
    <x v="2"/>
    <x v="1"/>
    <n v="12"/>
    <s v="CAD"/>
    <n v="39.26"/>
    <n v="181"/>
    <n v="6044"/>
    <n v="2.9899999999999999E-2"/>
    <n v="2.6"/>
    <n v="471.14"/>
    <n v="6.6299999999999998E-2"/>
  </r>
  <r>
    <x v="2"/>
    <x v="0"/>
    <n v="0"/>
    <s v="CAD"/>
    <n v="0"/>
    <n v="0"/>
    <n v="0"/>
    <s v=" --"/>
    <n v="0"/>
    <n v="0"/>
    <n v="0"/>
  </r>
  <r>
    <x v="2"/>
    <x v="7"/>
    <n v="0"/>
    <s v="CAD"/>
    <n v="0"/>
    <n v="0"/>
    <n v="0"/>
    <s v=" --"/>
    <n v="0"/>
    <n v="0"/>
    <n v="0"/>
  </r>
  <r>
    <x v="2"/>
    <x v="4"/>
    <n v="0"/>
    <s v="CAD"/>
    <n v="0"/>
    <n v="0"/>
    <n v="0"/>
    <s v=" --"/>
    <n v="0"/>
    <n v="0"/>
    <n v="0"/>
  </r>
  <r>
    <x v="2"/>
    <x v="3"/>
    <n v="8"/>
    <s v="CAD"/>
    <n v="33.4"/>
    <n v="129"/>
    <n v="9549"/>
    <n v="1.35E-2"/>
    <n v="2.0699999999999998"/>
    <n v="267.20999999999998"/>
    <n v="6.2E-2"/>
  </r>
  <r>
    <x v="2"/>
    <x v="5"/>
    <n v="9"/>
    <s v="CAD"/>
    <n v="35.08"/>
    <n v="106"/>
    <n v="2689"/>
    <n v="3.9399999999999998E-2"/>
    <n v="2.98"/>
    <n v="315.75"/>
    <n v="8.4900000000000003E-2"/>
  </r>
  <r>
    <x v="2"/>
    <x v="6"/>
    <n v="7"/>
    <s v="CAD"/>
    <n v="22.53"/>
    <n v="54"/>
    <n v="1894"/>
    <n v="2.8500000000000001E-2"/>
    <n v="2.92"/>
    <n v="157.72"/>
    <n v="0.12959999999999999"/>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0"/>
    <s v="CAD"/>
    <n v="0"/>
    <n v="71"/>
    <n v="2504"/>
    <n v="2.8400000000000002E-2"/>
    <n v="3.81"/>
    <n v="270.5"/>
    <n v="0"/>
  </r>
  <r>
    <x v="0"/>
    <x v="1"/>
    <n v="14"/>
    <s v="CAD"/>
    <n v="52.87"/>
    <n v="180"/>
    <n v="3368"/>
    <n v="5.3400000000000003E-2"/>
    <n v="4.1100000000000003"/>
    <n v="740.15"/>
    <n v="7.7799999999999994E-2"/>
  </r>
  <r>
    <x v="0"/>
    <x v="2"/>
    <n v="17"/>
    <s v="CAD"/>
    <n v="39.89"/>
    <n v="140"/>
    <n v="3317"/>
    <n v="4.2200000000000001E-2"/>
    <n v="4.84"/>
    <n v="678.07"/>
    <n v="0.12139999999999999"/>
  </r>
  <r>
    <x v="1"/>
    <x v="2"/>
    <n v="16"/>
    <s v="CAD"/>
    <n v="36.729999999999997"/>
    <n v="212"/>
    <n v="7243"/>
    <n v="2.93E-2"/>
    <n v="2.77"/>
    <n v="587.66"/>
    <n v="7.5499999999999998E-2"/>
  </r>
  <r>
    <x v="1"/>
    <x v="0"/>
    <n v="8"/>
    <s v="CAD"/>
    <n v="33.630000000000003"/>
    <n v="129"/>
    <n v="9557"/>
    <n v="1.35E-2"/>
    <n v="2.09"/>
    <n v="269.02"/>
    <n v="6.2E-2"/>
  </r>
  <r>
    <x v="1"/>
    <x v="1"/>
    <n v="12"/>
    <s v="CAD"/>
    <n v="29.6"/>
    <n v="129"/>
    <n v="3376"/>
    <n v="3.8199999999999998E-2"/>
    <n v="2.75"/>
    <n v="355.14"/>
    <n v="9.2999999999999999E-2"/>
  </r>
  <r>
    <x v="2"/>
    <x v="2"/>
    <n v="4"/>
    <s v="CAD"/>
    <n v="32.770000000000003"/>
    <n v="41"/>
    <n v="590"/>
    <n v="6.9500000000000006E-2"/>
    <n v="3.2"/>
    <n v="131.09"/>
    <n v="9.7600000000000006E-2"/>
  </r>
  <r>
    <x v="2"/>
    <x v="0"/>
    <n v="0"/>
    <s v="CAD"/>
    <n v="0"/>
    <n v="12"/>
    <n v="281"/>
    <n v="4.2700000000000002E-2"/>
    <n v="2.66"/>
    <n v="31.88"/>
    <n v="0"/>
  </r>
  <r>
    <x v="2"/>
    <x v="1"/>
    <n v="2"/>
    <s v="CAD"/>
    <n v="71.819999999999993"/>
    <n v="53"/>
    <n v="614"/>
    <n v="8.6300000000000002E-2"/>
    <n v="2.71"/>
    <n v="143.63"/>
    <n v="3.7699999999999997E-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n v="0"/>
    <s v="CAD"/>
    <n v="0"/>
    <n v="6"/>
    <n v="125"/>
    <n v="4.8000000000000001E-2"/>
    <n v="3.06"/>
    <n v="18.350000000000001"/>
    <n v="0"/>
  </r>
  <r>
    <x v="0"/>
    <x v="1"/>
    <n v="0"/>
    <s v="CAD"/>
    <n v="0"/>
    <n v="14"/>
    <n v="197"/>
    <n v="7.1099999999999997E-2"/>
    <n v="2.9"/>
    <n v="40.549999999999997"/>
    <n v="0"/>
  </r>
  <r>
    <x v="0"/>
    <x v="2"/>
    <n v="1"/>
    <s v="CAD"/>
    <n v="42.82"/>
    <n v="16"/>
    <n v="350"/>
    <n v="4.5699999999999998E-2"/>
    <n v="2.68"/>
    <n v="42.82"/>
    <n v="6.25E-2"/>
  </r>
  <r>
    <x v="0"/>
    <x v="3"/>
    <n v="0"/>
    <s v="CAD"/>
    <n v="0"/>
    <n v="0"/>
    <n v="0"/>
    <s v=" --"/>
    <n v="0"/>
    <n v="0"/>
    <n v="0"/>
  </r>
  <r>
    <x v="0"/>
    <x v="4"/>
    <n v="3"/>
    <s v="CAD"/>
    <n v="41.44"/>
    <n v="44"/>
    <n v="515"/>
    <n v="8.5400000000000004E-2"/>
    <n v="2.83"/>
    <n v="124.31"/>
    <n v="6.8199999999999997E-2"/>
  </r>
  <r>
    <x v="0"/>
    <x v="5"/>
    <n v="1"/>
    <s v="CAD"/>
    <n v="50.16"/>
    <n v="17"/>
    <n v="115"/>
    <n v="0.14779999999999999"/>
    <n v="2.95"/>
    <n v="50.16"/>
    <n v="5.8799999999999998E-2"/>
  </r>
  <r>
    <x v="0"/>
    <x v="6"/>
    <n v="1"/>
    <s v="CAD"/>
    <n v="30.41"/>
    <n v="9"/>
    <n v="183"/>
    <n v="4.9200000000000001E-2"/>
    <n v="3.38"/>
    <n v="30.41"/>
    <n v="0.1111"/>
  </r>
  <r>
    <x v="1"/>
    <x v="6"/>
    <n v="8"/>
    <s v="CAD"/>
    <n v="23.79"/>
    <n v="44"/>
    <n v="920"/>
    <n v="4.7800000000000002E-2"/>
    <n v="4.33"/>
    <n v="190.34"/>
    <n v="0.18179999999999999"/>
  </r>
  <r>
    <x v="1"/>
    <x v="4"/>
    <n v="16"/>
    <s v="CAD"/>
    <n v="36.01"/>
    <n v="138"/>
    <n v="2756"/>
    <n v="5.0099999999999999E-2"/>
    <n v="4.17"/>
    <n v="576.14"/>
    <n v="0.1159"/>
  </r>
  <r>
    <x v="1"/>
    <x v="5"/>
    <n v="3"/>
    <s v="CAD"/>
    <n v="49.51"/>
    <n v="33"/>
    <n v="634"/>
    <n v="5.21E-2"/>
    <n v="4.5"/>
    <n v="148.53"/>
    <n v="9.0899999999999995E-2"/>
  </r>
  <r>
    <x v="1"/>
    <x v="2"/>
    <n v="1"/>
    <s v="CAD"/>
    <n v="349.23"/>
    <n v="89"/>
    <n v="2893"/>
    <n v="3.0800000000000001E-2"/>
    <n v="3.92"/>
    <n v="349.23"/>
    <n v="1.12E-2"/>
  </r>
  <r>
    <x v="1"/>
    <x v="3"/>
    <n v="0"/>
    <s v="CAD"/>
    <n v="0"/>
    <n v="12"/>
    <n v="264"/>
    <n v="4.5499999999999999E-2"/>
    <n v="4.01"/>
    <n v="48.1"/>
    <n v="0"/>
  </r>
  <r>
    <x v="1"/>
    <x v="0"/>
    <n v="0"/>
    <s v="CAD"/>
    <n v="0"/>
    <n v="31"/>
    <n v="792"/>
    <n v="3.9100000000000003E-2"/>
    <n v="4.93"/>
    <n v="152.72"/>
    <n v="0"/>
  </r>
  <r>
    <x v="1"/>
    <x v="1"/>
    <n v="3"/>
    <s v="CAD"/>
    <n v="74.55"/>
    <n v="44"/>
    <n v="930"/>
    <n v="4.7300000000000002E-2"/>
    <n v="5.08"/>
    <n v="223.65"/>
    <n v="6.8199999999999997E-2"/>
  </r>
  <r>
    <x v="2"/>
    <x v="6"/>
    <n v="1"/>
    <s v="CAD"/>
    <n v="102"/>
    <n v="40"/>
    <n v="1336"/>
    <n v="2.9899999999999999E-2"/>
    <n v="2.5499999999999998"/>
    <n v="102"/>
    <n v="2.5000000000000001E-2"/>
  </r>
  <r>
    <x v="2"/>
    <x v="4"/>
    <n v="12"/>
    <s v="CAD"/>
    <n v="26.24"/>
    <n v="108"/>
    <n v="3097"/>
    <n v="3.49E-2"/>
    <n v="2.92"/>
    <n v="314.83999999999997"/>
    <n v="0.1111"/>
  </r>
  <r>
    <x v="2"/>
    <x v="0"/>
    <n v="1"/>
    <s v="CAD"/>
    <n v="89.2"/>
    <n v="27"/>
    <n v="1245"/>
    <n v="2.1700000000000001E-2"/>
    <n v="3.3"/>
    <n v="89.2"/>
    <n v="3.6999999999999998E-2"/>
  </r>
  <r>
    <x v="2"/>
    <x v="1"/>
    <n v="2"/>
    <s v="CAD"/>
    <n v="55.89"/>
    <n v="38"/>
    <n v="1496"/>
    <n v="2.5399999999999999E-2"/>
    <n v="2.94"/>
    <n v="111.77"/>
    <n v="5.2600000000000001E-2"/>
  </r>
  <r>
    <x v="2"/>
    <x v="3"/>
    <n v="9"/>
    <s v="CAD"/>
    <n v="24.84"/>
    <n v="88"/>
    <n v="1987"/>
    <n v="4.4299999999999999E-2"/>
    <n v="2.54"/>
    <n v="223.6"/>
    <n v="0.1023"/>
  </r>
  <r>
    <x v="2"/>
    <x v="5"/>
    <n v="2"/>
    <s v="CAD"/>
    <n v="35.25"/>
    <n v="23"/>
    <n v="886"/>
    <n v="2.5999999999999999E-2"/>
    <n v="3.07"/>
    <n v="70.5"/>
    <n v="8.6999999999999994E-2"/>
  </r>
  <r>
    <x v="2"/>
    <x v="2"/>
    <n v="9"/>
    <s v="CAD"/>
    <n v="33.32"/>
    <n v="146"/>
    <n v="10129"/>
    <n v="1.44E-2"/>
    <n v="2.0499999999999998"/>
    <n v="299.91000000000003"/>
    <n v="6.1600000000000002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BC1D11-DE62-4AFF-8F30-DD9083BCE644}" name="PivotTable1" cacheId="3" applyNumberFormats="0" applyBorderFormats="0" applyFontFormats="0" applyPatternFormats="0" applyAlignmentFormats="0" applyWidthHeightFormats="1" dataCaption="Values" grandTotalCaption="Grand Total" updatedVersion="8" minRefreshableVersion="3" useAutoFormatting="1" itemPrintTitles="1" createdVersion="8" indent="0" outline="1" outlineData="1" multipleFieldFilters="0">
  <location ref="A3:D7" firstHeaderRow="0" firstDataRow="1" firstDataCol="1"/>
  <pivotFields count="16">
    <pivotField showAll="0"/>
    <pivotField showAll="0"/>
    <pivotField showAll="0"/>
    <pivotField showAll="0"/>
    <pivotField axis="axisRow" showAll="0">
      <items count="4">
        <item x="0"/>
        <item x="2"/>
        <item x="1"/>
        <item t="default"/>
      </items>
    </pivotField>
    <pivotField showAll="0"/>
    <pivotField showAll="0"/>
    <pivotField dataField="1" showAll="0"/>
    <pivotField dataField="1" showAll="0"/>
    <pivotField numFmtId="10" showAll="0"/>
    <pivotField showAll="0"/>
    <pivotField showAll="0"/>
    <pivotField dataField="1" showAll="0"/>
    <pivotField showAll="0"/>
    <pivotField showAll="0"/>
    <pivotField showAll="0"/>
  </pivotFields>
  <rowFields count="1">
    <field x="4"/>
  </rowFields>
  <rowItems count="4">
    <i>
      <x/>
    </i>
    <i>
      <x v="1"/>
    </i>
    <i>
      <x v="2"/>
    </i>
    <i t="grand">
      <x/>
    </i>
  </rowItems>
  <colFields count="1">
    <field x="-2"/>
  </colFields>
  <colItems count="3">
    <i>
      <x/>
    </i>
    <i i="1">
      <x v="1"/>
    </i>
    <i i="2">
      <x v="2"/>
    </i>
  </colItems>
  <dataFields count="3">
    <dataField name="Sum of Clicks" fld="7" baseField="0" baseItem="0" numFmtId="177"/>
    <dataField name="Sum of Impr." fld="8" baseField="0" baseItem="0" numFmtId="177"/>
    <dataField name="Sum of Conversions" fld="12" baseField="0" baseItem="0" numFmtId="177"/>
  </dataFields>
  <formats count="3">
    <format dxfId="91">
      <pivotArea outline="0" collapsedLevelsAreSubtotals="1" fieldPosition="0">
        <references count="1">
          <reference field="4294967294" count="2" selected="0">
            <x v="0"/>
            <x v="1"/>
          </reference>
        </references>
      </pivotArea>
    </format>
    <format dxfId="90">
      <pivotArea outline="0" collapsedLevelsAreSubtotals="1" fieldPosition="0">
        <references count="1">
          <reference field="4294967294" count="1" selected="0">
            <x v="2"/>
          </reference>
        </references>
      </pivotArea>
    </format>
    <format dxfId="89">
      <pivotArea collapsedLevelsAreSubtotals="1" fieldPosition="0">
        <references count="2">
          <reference field="4294967294" count="1" selected="0">
            <x v="1"/>
          </reference>
          <reference field="4" count="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122FA2-D38A-4B87-8354-BDB3DA3D3EF0}"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E66" firstHeaderRow="0" firstDataRow="1" firstDataCol="1"/>
  <pivotFields count="16">
    <pivotField showAll="0"/>
    <pivotField showAll="0"/>
    <pivotField axis="axisRow" showAll="0">
      <items count="4">
        <item x="1"/>
        <item x="2"/>
        <item x="0"/>
        <item t="default"/>
      </items>
    </pivotField>
    <pivotField showAll="0"/>
    <pivotField axis="axisRow" showAll="0">
      <items count="4">
        <item x="0"/>
        <item x="2"/>
        <item x="1"/>
        <item t="default"/>
      </items>
    </pivotField>
    <pivotField showAll="0"/>
    <pivotField showAll="0"/>
    <pivotField dataField="1" showAll="0"/>
    <pivotField dataField="1" showAll="0"/>
    <pivotField numFmtId="10" showAll="0"/>
    <pivotField showAll="0"/>
    <pivotField dataField="1" showAll="0"/>
    <pivotField dataField="1" showAll="0"/>
    <pivotField showAll="0"/>
    <pivotField showAll="0"/>
    <pivotField showAll="0"/>
  </pivotFields>
  <rowFields count="2">
    <field x="2"/>
    <field x="4"/>
  </rowFields>
  <rowItems count="13">
    <i>
      <x/>
    </i>
    <i r="1">
      <x/>
    </i>
    <i r="1">
      <x v="1"/>
    </i>
    <i r="1">
      <x v="2"/>
    </i>
    <i>
      <x v="1"/>
    </i>
    <i r="1">
      <x/>
    </i>
    <i r="1">
      <x v="1"/>
    </i>
    <i r="1">
      <x v="2"/>
    </i>
    <i>
      <x v="2"/>
    </i>
    <i r="1">
      <x/>
    </i>
    <i r="1">
      <x v="1"/>
    </i>
    <i r="1">
      <x v="2"/>
    </i>
    <i t="grand">
      <x/>
    </i>
  </rowItems>
  <colFields count="1">
    <field x="-2"/>
  </colFields>
  <colItems count="4">
    <i>
      <x/>
    </i>
    <i i="1">
      <x v="1"/>
    </i>
    <i i="2">
      <x v="2"/>
    </i>
    <i i="3">
      <x v="3"/>
    </i>
  </colItems>
  <dataFields count="4">
    <dataField name="Sum of Clicks" fld="7" baseField="0" baseItem="0"/>
    <dataField name="Sum of Impr." fld="8" baseField="0" baseItem="0"/>
    <dataField name="Sum of Conversions" fld="12" baseField="0" baseItem="0"/>
    <dataField name="Sum of Cost" fld="11" baseField="0" baseItem="0" numFmtId="178"/>
  </dataFields>
  <formats count="5">
    <format dxfId="96">
      <pivotArea outline="0" collapsedLevelsAreSubtotals="1" fieldPosition="0">
        <references count="1">
          <reference field="4294967294" count="1" selected="0">
            <x v="3"/>
          </reference>
        </references>
      </pivotArea>
    </format>
    <format dxfId="95">
      <pivotArea dataOnly="0" labelOnly="1" outline="0" fieldPosition="0">
        <references count="1">
          <reference field="4294967294" count="1">
            <x v="3"/>
          </reference>
        </references>
      </pivotArea>
    </format>
    <format dxfId="94">
      <pivotArea collapsedLevelsAreSubtotals="1" fieldPosition="0">
        <references count="2">
          <reference field="4294967294" count="1" selected="0">
            <x v="0"/>
          </reference>
          <reference field="2" count="1">
            <x v="1"/>
          </reference>
        </references>
      </pivotArea>
    </format>
    <format dxfId="93">
      <pivotArea collapsedLevelsAreSubtotals="1" fieldPosition="0">
        <references count="2">
          <reference field="4294967294" count="1" selected="0">
            <x v="2"/>
          </reference>
          <reference field="2" count="1">
            <x v="1"/>
          </reference>
        </references>
      </pivotArea>
    </format>
    <format dxfId="92">
      <pivotArea collapsedLevelsAreSubtotals="1" fieldPosition="0">
        <references count="2">
          <reference field="4294967294" count="1" selected="0">
            <x v="0"/>
          </reference>
          <reference field="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39B37F-BCD5-4808-BDCA-42A9F5BD053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E34" firstHeaderRow="0" firstDataRow="1" firstDataCol="1"/>
  <pivotFields count="16">
    <pivotField axis="axisRow" showAll="0">
      <items count="3">
        <item x="0"/>
        <item x="1"/>
        <item t="default"/>
      </items>
    </pivotField>
    <pivotField showAll="0"/>
    <pivotField showAll="0"/>
    <pivotField showAll="0"/>
    <pivotField axis="axisRow" showAll="0">
      <items count="4">
        <item x="0"/>
        <item x="2"/>
        <item x="1"/>
        <item t="default"/>
      </items>
    </pivotField>
    <pivotField showAll="0"/>
    <pivotField showAll="0"/>
    <pivotField dataField="1" showAll="0"/>
    <pivotField dataField="1" showAll="0"/>
    <pivotField numFmtId="10" showAll="0"/>
    <pivotField showAll="0"/>
    <pivotField dataField="1" showAll="0"/>
    <pivotField dataField="1" showAll="0"/>
    <pivotField showAll="0"/>
    <pivotField showAll="0"/>
    <pivotField showAll="0"/>
  </pivotFields>
  <rowFields count="2">
    <field x="0"/>
    <field x="4"/>
  </rowFields>
  <rowItems count="7">
    <i>
      <x/>
    </i>
    <i r="1">
      <x/>
    </i>
    <i r="1">
      <x v="1"/>
    </i>
    <i r="1">
      <x v="2"/>
    </i>
    <i>
      <x v="1"/>
    </i>
    <i r="1">
      <x v="2"/>
    </i>
    <i t="grand">
      <x/>
    </i>
  </rowItems>
  <colFields count="1">
    <field x="-2"/>
  </colFields>
  <colItems count="4">
    <i>
      <x/>
    </i>
    <i i="1">
      <x v="1"/>
    </i>
    <i i="2">
      <x v="2"/>
    </i>
    <i i="3">
      <x v="3"/>
    </i>
  </colItems>
  <dataFields count="4">
    <dataField name="Sum of Impr." fld="8" baseField="0" baseItem="0"/>
    <dataField name="Sum of Clicks" fld="7" baseField="0" baseItem="0"/>
    <dataField name="Sum of Conversions" fld="12" baseField="0" baseItem="0"/>
    <dataField name="Sum of Cost" fld="11" baseField="0" baseItem="0" numFmtId="178"/>
  </dataFields>
  <formats count="1">
    <format dxfId="97">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D28BE2-AD73-41AD-A02C-0778420BBA5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11" firstHeaderRow="0" firstDataRow="1" firstDataCol="1"/>
  <pivotFields count="13">
    <pivotField showAll="0"/>
    <pivotField showAll="0"/>
    <pivotField axis="axisRow" showAll="0">
      <items count="9">
        <item x="7"/>
        <item x="3"/>
        <item x="0"/>
        <item x="6"/>
        <item x="5"/>
        <item x="1"/>
        <item x="4"/>
        <item x="2"/>
        <item t="default"/>
      </items>
    </pivotField>
    <pivotField showAll="0"/>
    <pivotField dataField="1" showAll="0"/>
    <pivotField showAll="0"/>
    <pivotField showAll="0"/>
    <pivotField dataField="1" showAll="0"/>
    <pivotField dataField="1" showAll="0"/>
    <pivotField showAll="0"/>
    <pivotField showAll="0"/>
    <pivotField dataField="1" numFmtId="178" showAll="0"/>
    <pivotField numFmtId="10" showAll="0"/>
  </pivotFields>
  <rowFields count="1">
    <field x="2"/>
  </rowFields>
  <rowItems count="9">
    <i>
      <x/>
    </i>
    <i>
      <x v="1"/>
    </i>
    <i>
      <x v="2"/>
    </i>
    <i>
      <x v="3"/>
    </i>
    <i>
      <x v="4"/>
    </i>
    <i>
      <x v="5"/>
    </i>
    <i>
      <x v="6"/>
    </i>
    <i>
      <x v="7"/>
    </i>
    <i t="grand">
      <x/>
    </i>
  </rowItems>
  <colFields count="1">
    <field x="-2"/>
  </colFields>
  <colItems count="4">
    <i>
      <x/>
    </i>
    <i i="1">
      <x v="1"/>
    </i>
    <i i="2">
      <x v="2"/>
    </i>
    <i i="3">
      <x v="3"/>
    </i>
  </colItems>
  <dataFields count="4">
    <dataField name="Sum of Clicks" fld="7" baseField="0" baseItem="0"/>
    <dataField name="Sum of Impr." fld="8" baseField="0" baseItem="0"/>
    <dataField name="Sum of Conversions" fld="4" baseField="0" baseItem="0"/>
    <dataField name="Sum of Cost" fld="11" baseField="0" baseItem="0" numFmtId="178"/>
  </dataFields>
  <formats count="6">
    <format dxfId="80">
      <pivotArea collapsedLevelsAreSubtotals="1" fieldPosition="0">
        <references count="2">
          <reference field="4294967294" count="1" selected="0">
            <x v="2"/>
          </reference>
          <reference field="2" count="1">
            <x v="2"/>
          </reference>
        </references>
      </pivotArea>
    </format>
    <format dxfId="79">
      <pivotArea collapsedLevelsAreSubtotals="1" fieldPosition="0">
        <references count="2">
          <reference field="4294967294" count="1" selected="0">
            <x v="2"/>
          </reference>
          <reference field="2" count="1">
            <x v="7"/>
          </reference>
        </references>
      </pivotArea>
    </format>
    <format dxfId="78">
      <pivotArea collapsedLevelsAreSubtotals="1" fieldPosition="0">
        <references count="2">
          <reference field="4294967294" count="1" selected="0">
            <x v="2"/>
          </reference>
          <reference field="2" count="1">
            <x v="6"/>
          </reference>
        </references>
      </pivotArea>
    </format>
    <format dxfId="77">
      <pivotArea collapsedLevelsAreSubtotals="1" fieldPosition="0">
        <references count="2">
          <reference field="4294967294" count="1" selected="0">
            <x v="3"/>
          </reference>
          <reference field="2" count="1">
            <x v="6"/>
          </reference>
        </references>
      </pivotArea>
    </format>
    <format dxfId="76">
      <pivotArea collapsedLevelsAreSubtotals="1" fieldPosition="0">
        <references count="2">
          <reference field="4294967294" count="1" selected="0">
            <x v="2"/>
          </reference>
          <reference field="2" count="1">
            <x v="3"/>
          </reference>
        </references>
      </pivotArea>
    </format>
    <format dxfId="75">
      <pivotArea collapsedLevelsAreSubtotals="1" fieldPosition="0">
        <references count="2">
          <reference field="4294967294" count="1" selected="0">
            <x v="3"/>
          </reference>
          <reference field="2"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7EF639-CB2A-834B-8607-2283DBBDE625}" name="数据透视表15" cacheId="6" applyNumberFormats="0" applyBorderFormats="0" applyFontFormats="0" applyPatternFormats="0" applyAlignmentFormats="0" applyWidthHeightFormats="1" dataCaption="值" grandTotalCaption="Grand Total" updatedVersion="8" minRefreshableVersion="3" useAutoFormatting="1" itemPrintTitles="1" createdVersion="8" indent="0" outline="1" outlineData="1" multipleFieldFilters="0" chartFormat="4" rowHeaderCaption="Label">
  <location ref="A113:I227" firstHeaderRow="0" firstDataRow="1" firstDataCol="1"/>
  <pivotFields count="21">
    <pivotField axis="axisRow" showAll="0" measureFilter="1">
      <items count="4">
        <item x="0"/>
        <item x="1"/>
        <item x="2"/>
        <item t="default"/>
      </items>
    </pivotField>
    <pivotField showAll="0"/>
    <pivotField axis="axisRow" showAll="0" measureFilter="1" sortType="descending">
      <items count="417">
        <item x="393"/>
        <item x="372"/>
        <item x="386"/>
        <item x="101"/>
        <item x="141"/>
        <item x="290"/>
        <item x="33"/>
        <item x="39"/>
        <item x="265"/>
        <item x="4"/>
        <item x="407"/>
        <item x="361"/>
        <item x="37"/>
        <item x="398"/>
        <item x="326"/>
        <item x="369"/>
        <item x="266"/>
        <item x="267"/>
        <item x="403"/>
        <item x="414"/>
        <item x="262"/>
        <item x="108"/>
        <item x="213"/>
        <item x="125"/>
        <item x="274"/>
        <item x="261"/>
        <item x="314"/>
        <item x="363"/>
        <item x="26"/>
        <item x="247"/>
        <item x="254"/>
        <item x="151"/>
        <item x="255"/>
        <item x="34"/>
        <item x="256"/>
        <item x="182"/>
        <item x="7"/>
        <item x="47"/>
        <item x="121"/>
        <item x="22"/>
        <item x="145"/>
        <item x="148"/>
        <item x="41"/>
        <item x="27"/>
        <item x="163"/>
        <item x="405"/>
        <item x="400"/>
        <item x="333"/>
        <item x="317"/>
        <item x="296"/>
        <item x="312"/>
        <item x="377"/>
        <item x="379"/>
        <item x="389"/>
        <item x="305"/>
        <item x="294"/>
        <item x="299"/>
        <item x="332"/>
        <item x="370"/>
        <item x="371"/>
        <item x="340"/>
        <item x="324"/>
        <item x="367"/>
        <item x="95"/>
        <item x="76"/>
        <item x="306"/>
        <item x="388"/>
        <item x="166"/>
        <item x="320"/>
        <item x="336"/>
        <item x="268"/>
        <item x="28"/>
        <item x="378"/>
        <item x="360"/>
        <item x="335"/>
        <item x="1"/>
        <item x="36"/>
        <item x="238"/>
        <item x="311"/>
        <item x="16"/>
        <item x="396"/>
        <item x="341"/>
        <item x="285"/>
        <item x="415"/>
        <item x="352"/>
        <item x="402"/>
        <item x="189"/>
        <item x="52"/>
        <item x="300"/>
        <item x="21"/>
        <item x="19"/>
        <item x="278"/>
        <item x="29"/>
        <item x="395"/>
        <item x="348"/>
        <item x="9"/>
        <item x="411"/>
        <item x="345"/>
        <item x="349"/>
        <item x="269"/>
        <item x="271"/>
        <item x="392"/>
        <item x="390"/>
        <item x="277"/>
        <item x="114"/>
        <item x="204"/>
        <item x="83"/>
        <item x="280"/>
        <item x="260"/>
        <item x="308"/>
        <item x="347"/>
        <item x="14"/>
        <item x="120"/>
        <item x="258"/>
        <item x="146"/>
        <item x="253"/>
        <item x="43"/>
        <item x="252"/>
        <item x="190"/>
        <item x="5"/>
        <item x="31"/>
        <item x="79"/>
        <item x="11"/>
        <item x="152"/>
        <item x="153"/>
        <item x="38"/>
        <item x="2"/>
        <item x="90"/>
        <item x="373"/>
        <item x="383"/>
        <item x="337"/>
        <item x="304"/>
        <item x="293"/>
        <item x="319"/>
        <item x="374"/>
        <item x="409"/>
        <item x="397"/>
        <item x="316"/>
        <item x="313"/>
        <item x="318"/>
        <item x="331"/>
        <item x="366"/>
        <item x="365"/>
        <item x="343"/>
        <item x="346"/>
        <item x="358"/>
        <item x="171"/>
        <item x="221"/>
        <item x="288"/>
        <item x="404"/>
        <item x="206"/>
        <item x="325"/>
        <item x="327"/>
        <item x="272"/>
        <item x="18"/>
        <item x="399"/>
        <item x="359"/>
        <item x="329"/>
        <item x="243"/>
        <item x="44"/>
        <item x="42"/>
        <item x="175"/>
        <item x="302"/>
        <item x="25"/>
        <item x="375"/>
        <item x="344"/>
        <item x="291"/>
        <item x="412"/>
        <item x="356"/>
        <item x="225"/>
        <item x="384"/>
        <item x="187"/>
        <item x="246"/>
        <item x="212"/>
        <item x="248"/>
        <item x="93"/>
        <item x="217"/>
        <item x="109"/>
        <item x="99"/>
        <item x="310"/>
        <item x="48"/>
        <item x="91"/>
        <item x="3"/>
        <item x="45"/>
        <item x="276"/>
        <item x="184"/>
        <item x="84"/>
        <item x="46"/>
        <item x="32"/>
        <item x="24"/>
        <item x="235"/>
        <item x="406"/>
        <item x="355"/>
        <item x="60"/>
        <item x="201"/>
        <item x="10"/>
        <item x="237"/>
        <item x="54"/>
        <item x="65"/>
        <item x="251"/>
        <item x="208"/>
        <item x="191"/>
        <item x="142"/>
        <item x="229"/>
        <item x="223"/>
        <item x="104"/>
        <item x="242"/>
        <item x="82"/>
        <item x="376"/>
        <item x="364"/>
        <item x="195"/>
        <item x="205"/>
        <item x="322"/>
        <item x="158"/>
        <item x="220"/>
        <item x="57"/>
        <item x="354"/>
        <item x="139"/>
        <item x="53"/>
        <item x="259"/>
        <item x="263"/>
        <item x="380"/>
        <item x="381"/>
        <item x="67"/>
        <item x="273"/>
        <item x="279"/>
        <item x="61"/>
        <item x="275"/>
        <item x="123"/>
        <item x="55"/>
        <item x="140"/>
        <item x="240"/>
        <item x="70"/>
        <item x="87"/>
        <item x="244"/>
        <item x="112"/>
        <item x="281"/>
        <item x="96"/>
        <item x="155"/>
        <item x="92"/>
        <item x="216"/>
        <item x="264"/>
        <item x="59"/>
        <item x="64"/>
        <item x="289"/>
        <item x="132"/>
        <item x="170"/>
        <item x="74"/>
        <item x="80"/>
        <item x="357"/>
        <item x="20"/>
        <item x="172"/>
        <item x="138"/>
        <item x="198"/>
        <item x="230"/>
        <item x="115"/>
        <item x="128"/>
        <item x="97"/>
        <item x="116"/>
        <item x="103"/>
        <item x="249"/>
        <item x="232"/>
        <item x="17"/>
        <item x="147"/>
        <item x="257"/>
        <item x="100"/>
        <item x="236"/>
        <item x="130"/>
        <item x="174"/>
        <item x="126"/>
        <item x="164"/>
        <item x="226"/>
        <item x="86"/>
        <item x="35"/>
        <item x="8"/>
        <item x="107"/>
        <item x="239"/>
        <item x="137"/>
        <item x="88"/>
        <item x="234"/>
        <item x="185"/>
        <item x="58"/>
        <item x="154"/>
        <item x="113"/>
        <item x="135"/>
        <item x="131"/>
        <item x="134"/>
        <item x="12"/>
        <item x="30"/>
        <item x="150"/>
        <item x="149"/>
        <item x="78"/>
        <item x="72"/>
        <item x="202"/>
        <item x="156"/>
        <item x="245"/>
        <item x="183"/>
        <item x="222"/>
        <item x="197"/>
        <item x="15"/>
        <item x="118"/>
        <item x="210"/>
        <item x="241"/>
        <item x="110"/>
        <item x="173"/>
        <item x="127"/>
        <item x="186"/>
        <item x="178"/>
        <item x="117"/>
        <item x="77"/>
        <item x="169"/>
        <item x="391"/>
        <item x="394"/>
        <item x="342"/>
        <item x="297"/>
        <item x="303"/>
        <item x="295"/>
        <item x="298"/>
        <item x="309"/>
        <item x="385"/>
        <item x="387"/>
        <item x="401"/>
        <item x="413"/>
        <item x="307"/>
        <item x="301"/>
        <item x="315"/>
        <item x="321"/>
        <item x="350"/>
        <item x="353"/>
        <item x="362"/>
        <item x="338"/>
        <item x="328"/>
        <item x="368"/>
        <item x="224"/>
        <item x="144"/>
        <item x="69"/>
        <item x="284"/>
        <item x="129"/>
        <item x="89"/>
        <item x="167"/>
        <item x="214"/>
        <item x="161"/>
        <item x="193"/>
        <item x="200"/>
        <item x="283"/>
        <item x="157"/>
        <item x="292"/>
        <item x="228"/>
        <item x="50"/>
        <item x="180"/>
        <item x="102"/>
        <item x="165"/>
        <item x="177"/>
        <item x="81"/>
        <item x="94"/>
        <item x="136"/>
        <item x="207"/>
        <item x="168"/>
        <item x="63"/>
        <item x="196"/>
        <item x="218"/>
        <item x="188"/>
        <item x="382"/>
        <item x="106"/>
        <item x="68"/>
        <item x="66"/>
        <item x="219"/>
        <item x="179"/>
        <item x="51"/>
        <item x="62"/>
        <item x="199"/>
        <item x="73"/>
        <item x="233"/>
        <item x="209"/>
        <item x="162"/>
        <item x="227"/>
        <item x="56"/>
        <item x="211"/>
        <item x="119"/>
        <item x="98"/>
        <item x="339"/>
        <item x="323"/>
        <item x="143"/>
        <item x="192"/>
        <item x="270"/>
        <item x="6"/>
        <item x="408"/>
        <item x="351"/>
        <item x="330"/>
        <item x="122"/>
        <item x="159"/>
        <item x="215"/>
        <item x="181"/>
        <item x="160"/>
        <item x="49"/>
        <item x="23"/>
        <item x="85"/>
        <item x="194"/>
        <item x="133"/>
        <item x="40"/>
        <item x="124"/>
        <item x="71"/>
        <item x="105"/>
        <item x="176"/>
        <item x="75"/>
        <item x="250"/>
        <item x="286"/>
        <item x="203"/>
        <item x="13"/>
        <item x="0"/>
        <item x="410"/>
        <item x="334"/>
        <item x="282"/>
        <item x="231"/>
        <item x="287"/>
        <item x="111"/>
        <item t="default"/>
      </items>
      <autoSortScope>
        <pivotArea dataOnly="0" outline="0" fieldPosition="0">
          <references count="1">
            <reference field="4294967294" count="1" selected="0">
              <x v="0"/>
            </reference>
          </references>
        </pivotArea>
      </autoSortScope>
    </pivotField>
    <pivotField axis="axisRow" showAll="0">
      <items count="4">
        <item x="0"/>
        <item x="2"/>
        <item x="1"/>
        <item t="default"/>
      </items>
    </pivotField>
    <pivotField showAll="0">
      <items count="9">
        <item x="4"/>
        <item x="7"/>
        <item x="5"/>
        <item x="0"/>
        <item x="2"/>
        <item x="6"/>
        <item x="3"/>
        <item x="1"/>
        <item t="default"/>
      </items>
    </pivotField>
    <pivotField showAll="0"/>
    <pivotField showAll="0"/>
    <pivotField dataField="1" showAll="0"/>
    <pivotField showAll="0"/>
    <pivotField showAll="0"/>
    <pivotField dataField="1" showAll="0"/>
    <pivotField dataField="1" showAll="0"/>
    <pivotField dataField="1" showAll="0"/>
    <pivotField showAll="0"/>
    <pivotField showAll="0"/>
    <pivotField showAll="0"/>
    <pivotField numFmtId="10"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3">
    <field x="0"/>
    <field x="3"/>
    <field x="2"/>
  </rowFields>
  <rowItems count="114">
    <i>
      <x/>
    </i>
    <i r="1">
      <x/>
    </i>
    <i r="2">
      <x v="302"/>
    </i>
    <i r="2">
      <x v="370"/>
    </i>
    <i r="2">
      <x v="277"/>
    </i>
    <i r="2">
      <x v="366"/>
    </i>
    <i r="2">
      <x v="262"/>
    </i>
    <i r="2">
      <x v="276"/>
    </i>
    <i r="2">
      <x v="230"/>
    </i>
    <i r="2">
      <x v="271"/>
    </i>
    <i r="2">
      <x v="274"/>
    </i>
    <i r="2">
      <x v="275"/>
    </i>
    <i r="2">
      <x v="264"/>
    </i>
    <i r="2">
      <x v="224"/>
    </i>
    <i r="2">
      <x v="290"/>
    </i>
    <i r="2">
      <x v="342"/>
    </i>
    <i r="2">
      <x v="412"/>
    </i>
    <i r="2">
      <x v="287"/>
    </i>
    <i r="2">
      <x v="335"/>
    </i>
    <i r="2">
      <x v="258"/>
    </i>
    <i r="2">
      <x v="393"/>
    </i>
    <i r="2">
      <x v="219"/>
    </i>
    <i r="2">
      <x v="349"/>
    </i>
    <i r="2">
      <x v="261"/>
    </i>
    <i r="2">
      <x v="175"/>
    </i>
    <i r="2">
      <x v="390"/>
    </i>
    <i r="2">
      <x v="345"/>
    </i>
    <i r="2">
      <x v="371"/>
    </i>
    <i r="2">
      <x v="378"/>
    </i>
    <i r="2">
      <x v="282"/>
    </i>
    <i r="2">
      <x v="214"/>
    </i>
    <i r="2">
      <x v="336"/>
    </i>
    <i r="2">
      <x v="266"/>
    </i>
    <i r="2">
      <x v="402"/>
    </i>
    <i r="2">
      <x v="280"/>
    </i>
    <i r="2">
      <x v="248"/>
    </i>
    <i r="2">
      <x v="357"/>
    </i>
    <i r="2">
      <x v="225"/>
    </i>
    <i r="2">
      <x v="250"/>
    </i>
    <i r="2">
      <x v="273"/>
    </i>
    <i r="2">
      <x v="211"/>
    </i>
    <i r="2">
      <x v="405"/>
    </i>
    <i r="2">
      <x v="301"/>
    </i>
    <i r="2">
      <x v="174"/>
    </i>
    <i r="2">
      <x v="259"/>
    </i>
    <i r="2">
      <x v="297"/>
    </i>
    <i r="2">
      <x v="176"/>
    </i>
    <i r="2">
      <x v="260"/>
    </i>
    <i r="2">
      <x v="281"/>
    </i>
    <i r="2">
      <x v="307"/>
    </i>
    <i r="2">
      <x v="285"/>
    </i>
    <i r="2">
      <x v="300"/>
    </i>
    <i r="2">
      <x v="234"/>
    </i>
    <i r="2">
      <x v="198"/>
    </i>
    <i r="2">
      <x v="299"/>
    </i>
    <i r="2">
      <x v="223"/>
    </i>
    <i r="2">
      <x v="268"/>
    </i>
    <i r="2">
      <x v="187"/>
    </i>
    <i r="2">
      <x v="382"/>
    </i>
    <i r="1">
      <x v="1"/>
    </i>
    <i r="2">
      <x v="146"/>
    </i>
    <i r="2">
      <x v="108"/>
    </i>
    <i r="1">
      <x v="2"/>
    </i>
    <i r="2">
      <x v="4"/>
    </i>
    <i>
      <x v="1"/>
    </i>
    <i r="1">
      <x/>
    </i>
    <i r="2">
      <x v="276"/>
    </i>
    <i r="2">
      <x v="224"/>
    </i>
    <i r="2">
      <x v="277"/>
    </i>
    <i r="2">
      <x v="302"/>
    </i>
    <i r="2">
      <x v="282"/>
    </i>
    <i r="2">
      <x v="370"/>
    </i>
    <i r="2">
      <x v="271"/>
    </i>
    <i r="2">
      <x v="366"/>
    </i>
    <i r="2">
      <x v="290"/>
    </i>
    <i r="2">
      <x v="301"/>
    </i>
    <i r="2">
      <x v="225"/>
    </i>
    <i r="2">
      <x v="259"/>
    </i>
    <i r="2">
      <x v="275"/>
    </i>
    <i r="2">
      <x v="297"/>
    </i>
    <i>
      <x v="2"/>
    </i>
    <i r="1">
      <x/>
    </i>
    <i r="2">
      <x v="387"/>
    </i>
    <i r="2">
      <x v="328"/>
    </i>
    <i r="2">
      <x v="179"/>
    </i>
    <i r="2">
      <x v="216"/>
    </i>
    <i r="2">
      <x v="332"/>
    </i>
    <i r="2">
      <x v="346"/>
    </i>
    <i r="2">
      <x v="326"/>
    </i>
    <i r="2">
      <x v="315"/>
    </i>
    <i r="2">
      <x v="209"/>
    </i>
    <i r="2">
      <x v="330"/>
    </i>
    <i r="2">
      <x v="192"/>
    </i>
    <i r="2">
      <x v="325"/>
    </i>
    <i r="2">
      <x v="244"/>
    </i>
    <i r="2">
      <x v="318"/>
    </i>
    <i r="1">
      <x v="1"/>
    </i>
    <i r="2">
      <x v="145"/>
    </i>
    <i r="2">
      <x v="156"/>
    </i>
    <i r="2">
      <x v="94"/>
    </i>
    <i r="2">
      <x v="98"/>
    </i>
    <i r="2">
      <x v="141"/>
    </i>
    <i r="2">
      <x v="88"/>
    </i>
    <i r="2">
      <x v="137"/>
    </i>
    <i r="2">
      <x v="139"/>
    </i>
    <i r="2">
      <x v="140"/>
    </i>
    <i r="1">
      <x v="2"/>
    </i>
    <i r="2">
      <x v="65"/>
    </i>
    <i r="2">
      <x v="57"/>
    </i>
    <i r="2">
      <x v="62"/>
    </i>
    <i r="2">
      <x v="5"/>
    </i>
    <i r="2">
      <x v="61"/>
    </i>
    <i r="2">
      <x v="15"/>
    </i>
    <i t="grand">
      <x/>
    </i>
  </rowItems>
  <colFields count="1">
    <field x="-2"/>
  </colFields>
  <colItems count="8">
    <i>
      <x/>
    </i>
    <i i="1">
      <x v="1"/>
    </i>
    <i i="2">
      <x v="2"/>
    </i>
    <i i="3">
      <x v="3"/>
    </i>
    <i i="4">
      <x v="4"/>
    </i>
    <i i="5">
      <x v="5"/>
    </i>
    <i i="6">
      <x v="6"/>
    </i>
    <i i="7">
      <x v="7"/>
    </i>
  </colItems>
  <dataFields count="8">
    <dataField name="Sum:Impr." fld="12" baseField="0" baseItem="0"/>
    <dataField name="Sum:Clicks" fld="10" baseField="0" baseItem="0"/>
    <dataField name="Sum:Cost" fld="11" baseField="0" baseItem="0"/>
    <dataField name="Sum:Conversions" fld="7" baseField="0" baseItem="0"/>
    <dataField name="Sum:CTR‘" fld="17" baseField="0" baseItem="0" numFmtId="10"/>
    <dataField name="Sum:CVR" fld="18" baseField="0" baseItem="0" numFmtId="10"/>
    <dataField name="Sum:CPA" fld="19" baseField="0" baseItem="0" numFmtId="179"/>
    <dataField name="Sum:CPC" fld="20" baseField="0" baseItem="0" numFmtId="179"/>
  </dataFields>
  <formats count="4">
    <format dxfId="62">
      <pivotArea outline="0" collapsedLevelsAreSubtotals="1" fieldPosition="0">
        <references count="1">
          <reference field="4294967294" count="2" selected="0">
            <x v="4"/>
            <x v="5"/>
          </reference>
        </references>
      </pivotArea>
    </format>
    <format dxfId="61">
      <pivotArea dataOnly="0" labelOnly="1" outline="0" fieldPosition="0">
        <references count="1">
          <reference field="4294967294" count="2">
            <x v="4"/>
            <x v="5"/>
          </reference>
        </references>
      </pivotArea>
    </format>
    <format dxfId="60">
      <pivotArea outline="0" collapsedLevelsAreSubtotals="1" fieldPosition="0">
        <references count="1">
          <reference field="4294967294" count="2" selected="0">
            <x v="6"/>
            <x v="7"/>
          </reference>
        </references>
      </pivotArea>
    </format>
    <format dxfId="59">
      <pivotArea dataOnly="0" outline="0" fieldPosition="0">
        <references count="1">
          <reference field="4294967294" count="1">
            <x v="2"/>
          </reference>
        </references>
      </pivotArea>
    </format>
  </formats>
  <chartFormats count="88">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1" format="0" series="1">
      <pivotArea type="data" outline="0" fieldPosition="0">
        <references count="1">
          <reference field="4294967294" count="1" selected="0">
            <x v="1"/>
          </reference>
        </references>
      </pivotArea>
    </chartFormat>
    <chartFormat chart="1" format="1" series="1">
      <pivotArea type="data" outline="0" fieldPosition="0">
        <references count="1">
          <reference field="4294967294" count="1" selected="0">
            <x v="2"/>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 chart="1" format="7" series="1">
      <pivotArea type="data" outline="0" fieldPosition="0">
        <references count="1">
          <reference field="4294967294" count="1" selected="0">
            <x v="7"/>
          </reference>
        </references>
      </pivotArea>
    </chartFormat>
    <chartFormat chart="1" format="8">
      <pivotArea type="data" outline="0" fieldPosition="0">
        <references count="3">
          <reference field="4294967294" count="1" selected="0">
            <x v="1"/>
          </reference>
          <reference field="0" count="1" selected="0">
            <x v="0"/>
          </reference>
          <reference field="3" count="1" selected="0">
            <x v="0"/>
          </reference>
        </references>
      </pivotArea>
    </chartFormat>
    <chartFormat chart="1" format="9">
      <pivotArea type="data" outline="0" fieldPosition="0">
        <references count="3">
          <reference field="4294967294" count="1" selected="0">
            <x v="1"/>
          </reference>
          <reference field="0" count="1" selected="0">
            <x v="0"/>
          </reference>
          <reference field="3" count="1" selected="0">
            <x v="1"/>
          </reference>
        </references>
      </pivotArea>
    </chartFormat>
    <chartFormat chart="1" format="10">
      <pivotArea type="data" outline="0" fieldPosition="0">
        <references count="3">
          <reference field="4294967294" count="1" selected="0">
            <x v="1"/>
          </reference>
          <reference field="0" count="1" selected="0">
            <x v="0"/>
          </reference>
          <reference field="3" count="1" selected="0">
            <x v="2"/>
          </reference>
        </references>
      </pivotArea>
    </chartFormat>
    <chartFormat chart="1" format="11">
      <pivotArea type="data" outline="0" fieldPosition="0">
        <references count="3">
          <reference field="4294967294" count="1" selected="0">
            <x v="1"/>
          </reference>
          <reference field="0" count="1" selected="0">
            <x v="1"/>
          </reference>
          <reference field="3" count="1" selected="0">
            <x v="0"/>
          </reference>
        </references>
      </pivotArea>
    </chartFormat>
    <chartFormat chart="1" format="12">
      <pivotArea type="data" outline="0" fieldPosition="0">
        <references count="3">
          <reference field="4294967294" count="1" selected="0">
            <x v="1"/>
          </reference>
          <reference field="0" count="1" selected="0">
            <x v="1"/>
          </reference>
          <reference field="3" count="1" selected="0">
            <x v="1"/>
          </reference>
        </references>
      </pivotArea>
    </chartFormat>
    <chartFormat chart="1" format="13">
      <pivotArea type="data" outline="0" fieldPosition="0">
        <references count="3">
          <reference field="4294967294" count="1" selected="0">
            <x v="1"/>
          </reference>
          <reference field="0" count="1" selected="0">
            <x v="1"/>
          </reference>
          <reference field="3" count="1" selected="0">
            <x v="2"/>
          </reference>
        </references>
      </pivotArea>
    </chartFormat>
    <chartFormat chart="1" format="14">
      <pivotArea type="data" outline="0" fieldPosition="0">
        <references count="3">
          <reference field="4294967294" count="1" selected="0">
            <x v="1"/>
          </reference>
          <reference field="0" count="1" selected="0">
            <x v="2"/>
          </reference>
          <reference field="3" count="1" selected="0">
            <x v="0"/>
          </reference>
        </references>
      </pivotArea>
    </chartFormat>
    <chartFormat chart="1" format="15">
      <pivotArea type="data" outline="0" fieldPosition="0">
        <references count="3">
          <reference field="4294967294" count="1" selected="0">
            <x v="1"/>
          </reference>
          <reference field="0" count="1" selected="0">
            <x v="2"/>
          </reference>
          <reference field="3" count="1" selected="0">
            <x v="1"/>
          </reference>
        </references>
      </pivotArea>
    </chartFormat>
    <chartFormat chart="1" format="16">
      <pivotArea type="data" outline="0" fieldPosition="0">
        <references count="3">
          <reference field="4294967294" count="1" selected="0">
            <x v="1"/>
          </reference>
          <reference field="0" count="1" selected="0">
            <x v="2"/>
          </reference>
          <reference field="3" count="1" selected="0">
            <x v="2"/>
          </reference>
        </references>
      </pivotArea>
    </chartFormat>
    <chartFormat chart="1" format="17">
      <pivotArea type="data" outline="0" fieldPosition="0">
        <references count="3">
          <reference field="4294967294" count="1" selected="0">
            <x v="2"/>
          </reference>
          <reference field="0" count="1" selected="0">
            <x v="0"/>
          </reference>
          <reference field="3" count="1" selected="0">
            <x v="0"/>
          </reference>
        </references>
      </pivotArea>
    </chartFormat>
    <chartFormat chart="1" format="18">
      <pivotArea type="data" outline="0" fieldPosition="0">
        <references count="3">
          <reference field="4294967294" count="1" selected="0">
            <x v="2"/>
          </reference>
          <reference field="0" count="1" selected="0">
            <x v="0"/>
          </reference>
          <reference field="3" count="1" selected="0">
            <x v="1"/>
          </reference>
        </references>
      </pivotArea>
    </chartFormat>
    <chartFormat chart="1" format="19">
      <pivotArea type="data" outline="0" fieldPosition="0">
        <references count="3">
          <reference field="4294967294" count="1" selected="0">
            <x v="2"/>
          </reference>
          <reference field="0" count="1" selected="0">
            <x v="0"/>
          </reference>
          <reference field="3" count="1" selected="0">
            <x v="2"/>
          </reference>
        </references>
      </pivotArea>
    </chartFormat>
    <chartFormat chart="1" format="20">
      <pivotArea type="data" outline="0" fieldPosition="0">
        <references count="3">
          <reference field="4294967294" count="1" selected="0">
            <x v="2"/>
          </reference>
          <reference field="0" count="1" selected="0">
            <x v="1"/>
          </reference>
          <reference field="3" count="1" selected="0">
            <x v="0"/>
          </reference>
        </references>
      </pivotArea>
    </chartFormat>
    <chartFormat chart="1" format="21">
      <pivotArea type="data" outline="0" fieldPosition="0">
        <references count="3">
          <reference field="4294967294" count="1" selected="0">
            <x v="2"/>
          </reference>
          <reference field="0" count="1" selected="0">
            <x v="1"/>
          </reference>
          <reference field="3" count="1" selected="0">
            <x v="1"/>
          </reference>
        </references>
      </pivotArea>
    </chartFormat>
    <chartFormat chart="1" format="22">
      <pivotArea type="data" outline="0" fieldPosition="0">
        <references count="3">
          <reference field="4294967294" count="1" selected="0">
            <x v="2"/>
          </reference>
          <reference field="0" count="1" selected="0">
            <x v="1"/>
          </reference>
          <reference field="3" count="1" selected="0">
            <x v="2"/>
          </reference>
        </references>
      </pivotArea>
    </chartFormat>
    <chartFormat chart="1" format="23">
      <pivotArea type="data" outline="0" fieldPosition="0">
        <references count="3">
          <reference field="4294967294" count="1" selected="0">
            <x v="2"/>
          </reference>
          <reference field="0" count="1" selected="0">
            <x v="2"/>
          </reference>
          <reference field="3" count="1" selected="0">
            <x v="0"/>
          </reference>
        </references>
      </pivotArea>
    </chartFormat>
    <chartFormat chart="1" format="24">
      <pivotArea type="data" outline="0" fieldPosition="0">
        <references count="3">
          <reference field="4294967294" count="1" selected="0">
            <x v="2"/>
          </reference>
          <reference field="0" count="1" selected="0">
            <x v="2"/>
          </reference>
          <reference field="3" count="1" selected="0">
            <x v="1"/>
          </reference>
        </references>
      </pivotArea>
    </chartFormat>
    <chartFormat chart="1" format="25">
      <pivotArea type="data" outline="0" fieldPosition="0">
        <references count="3">
          <reference field="4294967294" count="1" selected="0">
            <x v="2"/>
          </reference>
          <reference field="0" count="1" selected="0">
            <x v="2"/>
          </reference>
          <reference field="3" count="1" selected="0">
            <x v="2"/>
          </reference>
        </references>
      </pivotArea>
    </chartFormat>
    <chartFormat chart="1" format="26">
      <pivotArea type="data" outline="0" fieldPosition="0">
        <references count="3">
          <reference field="4294967294" count="1" selected="0">
            <x v="0"/>
          </reference>
          <reference field="0" count="1" selected="0">
            <x v="0"/>
          </reference>
          <reference field="3" count="1" selected="0">
            <x v="0"/>
          </reference>
        </references>
      </pivotArea>
    </chartFormat>
    <chartFormat chart="1" format="27">
      <pivotArea type="data" outline="0" fieldPosition="0">
        <references count="3">
          <reference field="4294967294" count="1" selected="0">
            <x v="0"/>
          </reference>
          <reference field="0" count="1" selected="0">
            <x v="0"/>
          </reference>
          <reference field="3" count="1" selected="0">
            <x v="1"/>
          </reference>
        </references>
      </pivotArea>
    </chartFormat>
    <chartFormat chart="1" format="28">
      <pivotArea type="data" outline="0" fieldPosition="0">
        <references count="3">
          <reference field="4294967294" count="1" selected="0">
            <x v="0"/>
          </reference>
          <reference field="0" count="1" selected="0">
            <x v="0"/>
          </reference>
          <reference field="3" count="1" selected="0">
            <x v="2"/>
          </reference>
        </references>
      </pivotArea>
    </chartFormat>
    <chartFormat chart="1" format="29">
      <pivotArea type="data" outline="0" fieldPosition="0">
        <references count="3">
          <reference field="4294967294" count="1" selected="0">
            <x v="0"/>
          </reference>
          <reference field="0" count="1" selected="0">
            <x v="1"/>
          </reference>
          <reference field="3" count="1" selected="0">
            <x v="0"/>
          </reference>
        </references>
      </pivotArea>
    </chartFormat>
    <chartFormat chart="1" format="30">
      <pivotArea type="data" outline="0" fieldPosition="0">
        <references count="3">
          <reference field="4294967294" count="1" selected="0">
            <x v="0"/>
          </reference>
          <reference field="0" count="1" selected="0">
            <x v="1"/>
          </reference>
          <reference field="3" count="1" selected="0">
            <x v="1"/>
          </reference>
        </references>
      </pivotArea>
    </chartFormat>
    <chartFormat chart="1" format="31">
      <pivotArea type="data" outline="0" fieldPosition="0">
        <references count="3">
          <reference field="4294967294" count="1" selected="0">
            <x v="0"/>
          </reference>
          <reference field="0" count="1" selected="0">
            <x v="1"/>
          </reference>
          <reference field="3" count="1" selected="0">
            <x v="2"/>
          </reference>
        </references>
      </pivotArea>
    </chartFormat>
    <chartFormat chart="1" format="32">
      <pivotArea type="data" outline="0" fieldPosition="0">
        <references count="3">
          <reference field="4294967294" count="1" selected="0">
            <x v="0"/>
          </reference>
          <reference field="0" count="1" selected="0">
            <x v="2"/>
          </reference>
          <reference field="3" count="1" selected="0">
            <x v="0"/>
          </reference>
        </references>
      </pivotArea>
    </chartFormat>
    <chartFormat chart="1" format="33">
      <pivotArea type="data" outline="0" fieldPosition="0">
        <references count="3">
          <reference field="4294967294" count="1" selected="0">
            <x v="0"/>
          </reference>
          <reference field="0" count="1" selected="0">
            <x v="2"/>
          </reference>
          <reference field="3" count="1" selected="0">
            <x v="1"/>
          </reference>
        </references>
      </pivotArea>
    </chartFormat>
    <chartFormat chart="1" format="34">
      <pivotArea type="data" outline="0" fieldPosition="0">
        <references count="3">
          <reference field="4294967294" count="1" selected="0">
            <x v="0"/>
          </reference>
          <reference field="0" count="1" selected="0">
            <x v="2"/>
          </reference>
          <reference field="3" count="1" selected="0">
            <x v="2"/>
          </reference>
        </references>
      </pivotArea>
    </chartFormat>
    <chartFormat chart="1" format="35">
      <pivotArea type="data" outline="0" fieldPosition="0">
        <references count="3">
          <reference field="4294967294" count="1" selected="0">
            <x v="3"/>
          </reference>
          <reference field="0" count="1" selected="0">
            <x v="0"/>
          </reference>
          <reference field="3" count="1" selected="0">
            <x v="0"/>
          </reference>
        </references>
      </pivotArea>
    </chartFormat>
    <chartFormat chart="1" format="36">
      <pivotArea type="data" outline="0" fieldPosition="0">
        <references count="3">
          <reference field="4294967294" count="1" selected="0">
            <x v="3"/>
          </reference>
          <reference field="0" count="1" selected="0">
            <x v="0"/>
          </reference>
          <reference field="3" count="1" selected="0">
            <x v="1"/>
          </reference>
        </references>
      </pivotArea>
    </chartFormat>
    <chartFormat chart="1" format="37">
      <pivotArea type="data" outline="0" fieldPosition="0">
        <references count="3">
          <reference field="4294967294" count="1" selected="0">
            <x v="3"/>
          </reference>
          <reference field="0" count="1" selected="0">
            <x v="0"/>
          </reference>
          <reference field="3" count="1" selected="0">
            <x v="2"/>
          </reference>
        </references>
      </pivotArea>
    </chartFormat>
    <chartFormat chart="1" format="38">
      <pivotArea type="data" outline="0" fieldPosition="0">
        <references count="3">
          <reference field="4294967294" count="1" selected="0">
            <x v="3"/>
          </reference>
          <reference field="0" count="1" selected="0">
            <x v="1"/>
          </reference>
          <reference field="3" count="1" selected="0">
            <x v="0"/>
          </reference>
        </references>
      </pivotArea>
    </chartFormat>
    <chartFormat chart="1" format="39">
      <pivotArea type="data" outline="0" fieldPosition="0">
        <references count="3">
          <reference field="4294967294" count="1" selected="0">
            <x v="3"/>
          </reference>
          <reference field="0" count="1" selected="0">
            <x v="1"/>
          </reference>
          <reference field="3" count="1" selected="0">
            <x v="1"/>
          </reference>
        </references>
      </pivotArea>
    </chartFormat>
    <chartFormat chart="1" format="40">
      <pivotArea type="data" outline="0" fieldPosition="0">
        <references count="3">
          <reference field="4294967294" count="1" selected="0">
            <x v="3"/>
          </reference>
          <reference field="0" count="1" selected="0">
            <x v="1"/>
          </reference>
          <reference field="3" count="1" selected="0">
            <x v="2"/>
          </reference>
        </references>
      </pivotArea>
    </chartFormat>
    <chartFormat chart="1" format="41">
      <pivotArea type="data" outline="0" fieldPosition="0">
        <references count="3">
          <reference field="4294967294" count="1" selected="0">
            <x v="3"/>
          </reference>
          <reference field="0" count="1" selected="0">
            <x v="2"/>
          </reference>
          <reference field="3" count="1" selected="0">
            <x v="0"/>
          </reference>
        </references>
      </pivotArea>
    </chartFormat>
    <chartFormat chart="1" format="42">
      <pivotArea type="data" outline="0" fieldPosition="0">
        <references count="3">
          <reference field="4294967294" count="1" selected="0">
            <x v="3"/>
          </reference>
          <reference field="0" count="1" selected="0">
            <x v="2"/>
          </reference>
          <reference field="3" count="1" selected="0">
            <x v="1"/>
          </reference>
        </references>
      </pivotArea>
    </chartFormat>
    <chartFormat chart="1" format="43">
      <pivotArea type="data" outline="0" fieldPosition="0">
        <references count="3">
          <reference field="4294967294" count="1" selected="0">
            <x v="3"/>
          </reference>
          <reference field="0" count="1" selected="0">
            <x v="2"/>
          </reference>
          <reference field="3" count="1" selected="0">
            <x v="2"/>
          </reference>
        </references>
      </pivotArea>
    </chartFormat>
    <chartFormat chart="1" format="44">
      <pivotArea type="data" outline="0" fieldPosition="0">
        <references count="3">
          <reference field="4294967294" count="1" selected="0">
            <x v="4"/>
          </reference>
          <reference field="0" count="1" selected="0">
            <x v="0"/>
          </reference>
          <reference field="3" count="1" selected="0">
            <x v="0"/>
          </reference>
        </references>
      </pivotArea>
    </chartFormat>
    <chartFormat chart="1" format="45">
      <pivotArea type="data" outline="0" fieldPosition="0">
        <references count="3">
          <reference field="4294967294" count="1" selected="0">
            <x v="4"/>
          </reference>
          <reference field="0" count="1" selected="0">
            <x v="0"/>
          </reference>
          <reference field="3" count="1" selected="0">
            <x v="1"/>
          </reference>
        </references>
      </pivotArea>
    </chartFormat>
    <chartFormat chart="1" format="46">
      <pivotArea type="data" outline="0" fieldPosition="0">
        <references count="3">
          <reference field="4294967294" count="1" selected="0">
            <x v="4"/>
          </reference>
          <reference field="0" count="1" selected="0">
            <x v="0"/>
          </reference>
          <reference field="3" count="1" selected="0">
            <x v="2"/>
          </reference>
        </references>
      </pivotArea>
    </chartFormat>
    <chartFormat chart="1" format="47">
      <pivotArea type="data" outline="0" fieldPosition="0">
        <references count="3">
          <reference field="4294967294" count="1" selected="0">
            <x v="4"/>
          </reference>
          <reference field="0" count="1" selected="0">
            <x v="1"/>
          </reference>
          <reference field="3" count="1" selected="0">
            <x v="0"/>
          </reference>
        </references>
      </pivotArea>
    </chartFormat>
    <chartFormat chart="1" format="48">
      <pivotArea type="data" outline="0" fieldPosition="0">
        <references count="3">
          <reference field="4294967294" count="1" selected="0">
            <x v="4"/>
          </reference>
          <reference field="0" count="1" selected="0">
            <x v="1"/>
          </reference>
          <reference field="3" count="1" selected="0">
            <x v="1"/>
          </reference>
        </references>
      </pivotArea>
    </chartFormat>
    <chartFormat chart="1" format="49">
      <pivotArea type="data" outline="0" fieldPosition="0">
        <references count="3">
          <reference field="4294967294" count="1" selected="0">
            <x v="4"/>
          </reference>
          <reference field="0" count="1" selected="0">
            <x v="1"/>
          </reference>
          <reference field="3" count="1" selected="0">
            <x v="2"/>
          </reference>
        </references>
      </pivotArea>
    </chartFormat>
    <chartFormat chart="1" format="50">
      <pivotArea type="data" outline="0" fieldPosition="0">
        <references count="3">
          <reference field="4294967294" count="1" selected="0">
            <x v="4"/>
          </reference>
          <reference field="0" count="1" selected="0">
            <x v="2"/>
          </reference>
          <reference field="3" count="1" selected="0">
            <x v="0"/>
          </reference>
        </references>
      </pivotArea>
    </chartFormat>
    <chartFormat chart="1" format="51">
      <pivotArea type="data" outline="0" fieldPosition="0">
        <references count="3">
          <reference field="4294967294" count="1" selected="0">
            <x v="4"/>
          </reference>
          <reference field="0" count="1" selected="0">
            <x v="2"/>
          </reference>
          <reference field="3" count="1" selected="0">
            <x v="1"/>
          </reference>
        </references>
      </pivotArea>
    </chartFormat>
    <chartFormat chart="1" format="52">
      <pivotArea type="data" outline="0" fieldPosition="0">
        <references count="3">
          <reference field="4294967294" count="1" selected="0">
            <x v="4"/>
          </reference>
          <reference field="0" count="1" selected="0">
            <x v="2"/>
          </reference>
          <reference field="3" count="1" selected="0">
            <x v="2"/>
          </reference>
        </references>
      </pivotArea>
    </chartFormat>
    <chartFormat chart="1" format="53">
      <pivotArea type="data" outline="0" fieldPosition="0">
        <references count="3">
          <reference field="4294967294" count="1" selected="0">
            <x v="5"/>
          </reference>
          <reference field="0" count="1" selected="0">
            <x v="0"/>
          </reference>
          <reference field="3" count="1" selected="0">
            <x v="0"/>
          </reference>
        </references>
      </pivotArea>
    </chartFormat>
    <chartFormat chart="1" format="54">
      <pivotArea type="data" outline="0" fieldPosition="0">
        <references count="3">
          <reference field="4294967294" count="1" selected="0">
            <x v="5"/>
          </reference>
          <reference field="0" count="1" selected="0">
            <x v="0"/>
          </reference>
          <reference field="3" count="1" selected="0">
            <x v="1"/>
          </reference>
        </references>
      </pivotArea>
    </chartFormat>
    <chartFormat chart="1" format="55">
      <pivotArea type="data" outline="0" fieldPosition="0">
        <references count="3">
          <reference field="4294967294" count="1" selected="0">
            <x v="5"/>
          </reference>
          <reference field="0" count="1" selected="0">
            <x v="0"/>
          </reference>
          <reference field="3" count="1" selected="0">
            <x v="2"/>
          </reference>
        </references>
      </pivotArea>
    </chartFormat>
    <chartFormat chart="1" format="56">
      <pivotArea type="data" outline="0" fieldPosition="0">
        <references count="3">
          <reference field="4294967294" count="1" selected="0">
            <x v="5"/>
          </reference>
          <reference field="0" count="1" selected="0">
            <x v="1"/>
          </reference>
          <reference field="3" count="1" selected="0">
            <x v="0"/>
          </reference>
        </references>
      </pivotArea>
    </chartFormat>
    <chartFormat chart="1" format="57">
      <pivotArea type="data" outline="0" fieldPosition="0">
        <references count="3">
          <reference field="4294967294" count="1" selected="0">
            <x v="5"/>
          </reference>
          <reference field="0" count="1" selected="0">
            <x v="1"/>
          </reference>
          <reference field="3" count="1" selected="0">
            <x v="1"/>
          </reference>
        </references>
      </pivotArea>
    </chartFormat>
    <chartFormat chart="1" format="58">
      <pivotArea type="data" outline="0" fieldPosition="0">
        <references count="3">
          <reference field="4294967294" count="1" selected="0">
            <x v="5"/>
          </reference>
          <reference field="0" count="1" selected="0">
            <x v="1"/>
          </reference>
          <reference field="3" count="1" selected="0">
            <x v="2"/>
          </reference>
        </references>
      </pivotArea>
    </chartFormat>
    <chartFormat chart="1" format="59">
      <pivotArea type="data" outline="0" fieldPosition="0">
        <references count="3">
          <reference field="4294967294" count="1" selected="0">
            <x v="5"/>
          </reference>
          <reference field="0" count="1" selected="0">
            <x v="2"/>
          </reference>
          <reference field="3" count="1" selected="0">
            <x v="0"/>
          </reference>
        </references>
      </pivotArea>
    </chartFormat>
    <chartFormat chart="1" format="60">
      <pivotArea type="data" outline="0" fieldPosition="0">
        <references count="3">
          <reference field="4294967294" count="1" selected="0">
            <x v="5"/>
          </reference>
          <reference field="0" count="1" selected="0">
            <x v="2"/>
          </reference>
          <reference field="3" count="1" selected="0">
            <x v="1"/>
          </reference>
        </references>
      </pivotArea>
    </chartFormat>
    <chartFormat chart="1" format="61">
      <pivotArea type="data" outline="0" fieldPosition="0">
        <references count="3">
          <reference field="4294967294" count="1" selected="0">
            <x v="5"/>
          </reference>
          <reference field="0" count="1" selected="0">
            <x v="2"/>
          </reference>
          <reference field="3" count="1" selected="0">
            <x v="2"/>
          </reference>
        </references>
      </pivotArea>
    </chartFormat>
    <chartFormat chart="1" format="62">
      <pivotArea type="data" outline="0" fieldPosition="0">
        <references count="3">
          <reference field="4294967294" count="1" selected="0">
            <x v="6"/>
          </reference>
          <reference field="0" count="1" selected="0">
            <x v="0"/>
          </reference>
          <reference field="3" count="1" selected="0">
            <x v="0"/>
          </reference>
        </references>
      </pivotArea>
    </chartFormat>
    <chartFormat chart="1" format="63">
      <pivotArea type="data" outline="0" fieldPosition="0">
        <references count="3">
          <reference field="4294967294" count="1" selected="0">
            <x v="6"/>
          </reference>
          <reference field="0" count="1" selected="0">
            <x v="0"/>
          </reference>
          <reference field="3" count="1" selected="0">
            <x v="1"/>
          </reference>
        </references>
      </pivotArea>
    </chartFormat>
    <chartFormat chart="1" format="64">
      <pivotArea type="data" outline="0" fieldPosition="0">
        <references count="3">
          <reference field="4294967294" count="1" selected="0">
            <x v="6"/>
          </reference>
          <reference field="0" count="1" selected="0">
            <x v="0"/>
          </reference>
          <reference field="3" count="1" selected="0">
            <x v="2"/>
          </reference>
        </references>
      </pivotArea>
    </chartFormat>
    <chartFormat chart="1" format="65">
      <pivotArea type="data" outline="0" fieldPosition="0">
        <references count="3">
          <reference field="4294967294" count="1" selected="0">
            <x v="6"/>
          </reference>
          <reference field="0" count="1" selected="0">
            <x v="1"/>
          </reference>
          <reference field="3" count="1" selected="0">
            <x v="0"/>
          </reference>
        </references>
      </pivotArea>
    </chartFormat>
    <chartFormat chart="1" format="66">
      <pivotArea type="data" outline="0" fieldPosition="0">
        <references count="3">
          <reference field="4294967294" count="1" selected="0">
            <x v="6"/>
          </reference>
          <reference field="0" count="1" selected="0">
            <x v="1"/>
          </reference>
          <reference field="3" count="1" selected="0">
            <x v="1"/>
          </reference>
        </references>
      </pivotArea>
    </chartFormat>
    <chartFormat chart="1" format="67">
      <pivotArea type="data" outline="0" fieldPosition="0">
        <references count="3">
          <reference field="4294967294" count="1" selected="0">
            <x v="6"/>
          </reference>
          <reference field="0" count="1" selected="0">
            <x v="1"/>
          </reference>
          <reference field="3" count="1" selected="0">
            <x v="2"/>
          </reference>
        </references>
      </pivotArea>
    </chartFormat>
    <chartFormat chart="1" format="68">
      <pivotArea type="data" outline="0" fieldPosition="0">
        <references count="3">
          <reference field="4294967294" count="1" selected="0">
            <x v="6"/>
          </reference>
          <reference field="0" count="1" selected="0">
            <x v="2"/>
          </reference>
          <reference field="3" count="1" selected="0">
            <x v="0"/>
          </reference>
        </references>
      </pivotArea>
    </chartFormat>
    <chartFormat chart="1" format="69">
      <pivotArea type="data" outline="0" fieldPosition="0">
        <references count="3">
          <reference field="4294967294" count="1" selected="0">
            <x v="6"/>
          </reference>
          <reference field="0" count="1" selected="0">
            <x v="2"/>
          </reference>
          <reference field="3" count="1" selected="0">
            <x v="1"/>
          </reference>
        </references>
      </pivotArea>
    </chartFormat>
    <chartFormat chart="1" format="70">
      <pivotArea type="data" outline="0" fieldPosition="0">
        <references count="3">
          <reference field="4294967294" count="1" selected="0">
            <x v="6"/>
          </reference>
          <reference field="0" count="1" selected="0">
            <x v="2"/>
          </reference>
          <reference field="3" count="1" selected="0">
            <x v="2"/>
          </reference>
        </references>
      </pivotArea>
    </chartFormat>
    <chartFormat chart="1" format="71">
      <pivotArea type="data" outline="0" fieldPosition="0">
        <references count="3">
          <reference field="4294967294" count="1" selected="0">
            <x v="7"/>
          </reference>
          <reference field="0" count="1" selected="0">
            <x v="0"/>
          </reference>
          <reference field="3" count="1" selected="0">
            <x v="0"/>
          </reference>
        </references>
      </pivotArea>
    </chartFormat>
    <chartFormat chart="1" format="72">
      <pivotArea type="data" outline="0" fieldPosition="0">
        <references count="3">
          <reference field="4294967294" count="1" selected="0">
            <x v="7"/>
          </reference>
          <reference field="0" count="1" selected="0">
            <x v="0"/>
          </reference>
          <reference field="3" count="1" selected="0">
            <x v="1"/>
          </reference>
        </references>
      </pivotArea>
    </chartFormat>
    <chartFormat chart="1" format="73">
      <pivotArea type="data" outline="0" fieldPosition="0">
        <references count="3">
          <reference field="4294967294" count="1" selected="0">
            <x v="7"/>
          </reference>
          <reference field="0" count="1" selected="0">
            <x v="0"/>
          </reference>
          <reference field="3" count="1" selected="0">
            <x v="2"/>
          </reference>
        </references>
      </pivotArea>
    </chartFormat>
    <chartFormat chart="1" format="74">
      <pivotArea type="data" outline="0" fieldPosition="0">
        <references count="3">
          <reference field="4294967294" count="1" selected="0">
            <x v="7"/>
          </reference>
          <reference field="0" count="1" selected="0">
            <x v="1"/>
          </reference>
          <reference field="3" count="1" selected="0">
            <x v="0"/>
          </reference>
        </references>
      </pivotArea>
    </chartFormat>
    <chartFormat chart="1" format="75">
      <pivotArea type="data" outline="0" fieldPosition="0">
        <references count="3">
          <reference field="4294967294" count="1" selected="0">
            <x v="7"/>
          </reference>
          <reference field="0" count="1" selected="0">
            <x v="1"/>
          </reference>
          <reference field="3" count="1" selected="0">
            <x v="1"/>
          </reference>
        </references>
      </pivotArea>
    </chartFormat>
    <chartFormat chart="1" format="76">
      <pivotArea type="data" outline="0" fieldPosition="0">
        <references count="3">
          <reference field="4294967294" count="1" selected="0">
            <x v="7"/>
          </reference>
          <reference field="0" count="1" selected="0">
            <x v="1"/>
          </reference>
          <reference field="3" count="1" selected="0">
            <x v="2"/>
          </reference>
        </references>
      </pivotArea>
    </chartFormat>
    <chartFormat chart="1" format="77">
      <pivotArea type="data" outline="0" fieldPosition="0">
        <references count="3">
          <reference field="4294967294" count="1" selected="0">
            <x v="7"/>
          </reference>
          <reference field="0" count="1" selected="0">
            <x v="2"/>
          </reference>
          <reference field="3" count="1" selected="0">
            <x v="0"/>
          </reference>
        </references>
      </pivotArea>
    </chartFormat>
    <chartFormat chart="1" format="78">
      <pivotArea type="data" outline="0" fieldPosition="0">
        <references count="3">
          <reference field="4294967294" count="1" selected="0">
            <x v="7"/>
          </reference>
          <reference field="0" count="1" selected="0">
            <x v="2"/>
          </reference>
          <reference field="3" count="1" selected="0">
            <x v="1"/>
          </reference>
        </references>
      </pivotArea>
    </chartFormat>
    <chartFormat chart="1" format="79">
      <pivotArea type="data" outline="0" fieldPosition="0">
        <references count="3">
          <reference field="4294967294" count="1" selected="0">
            <x v="7"/>
          </reference>
          <reference field="0" count="1" selected="0">
            <x v="2"/>
          </reference>
          <reference field="3" count="1" selected="0">
            <x v="2"/>
          </reference>
        </references>
      </pivotArea>
    </chartFormat>
  </chartFormats>
  <pivotTableStyleInfo name="PivotStyleLight16" showRowHeaders="1" showColHeaders="1" showRowStripes="0" showColStripes="0" showLastColumn="1"/>
  <filters count="2">
    <filter fld="2" type="valueGreaterThanOrEqual" evalOrder="-1" id="4" iMeasureFld="0">
      <autoFilter ref="A1">
        <filterColumn colId="0">
          <customFilters>
            <customFilter operator="greaterThanOrEqual" val="10"/>
          </customFilters>
        </filterColumn>
      </autoFilter>
    </filter>
    <filter fld="0" type="valueGreaterThanOrEqual" evalOrder="-1" id="3" iMeasureFld="0">
      <autoFilter ref="A1">
        <filterColumn colId="0">
          <customFilters>
            <customFilter operator="greaterThanOrEqual"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9DCBE5-C458-AB4F-847E-D31CDE69BDF3}" name="数据透视表14" cacheId="6" applyNumberFormats="0" applyBorderFormats="0" applyFontFormats="0" applyPatternFormats="0" applyAlignmentFormats="0" applyWidthHeightFormats="1" dataCaption="值" grandTotalCaption="Grand Total" updatedVersion="8" minRefreshableVersion="3" useAutoFormatting="1" itemPrintTitles="1" createdVersion="8" indent="0" outline="1" outlineData="1" multipleFieldFilters="0" rowHeaderCaption="Label">
  <location ref="A3:I108" firstHeaderRow="0" firstDataRow="1" firstDataCol="1"/>
  <pivotFields count="21">
    <pivotField axis="axisRow" showAll="0">
      <items count="4">
        <item x="0"/>
        <item x="1"/>
        <item x="2"/>
        <item t="default"/>
      </items>
    </pivotField>
    <pivotField showAll="0"/>
    <pivotField axis="axisRow" showAll="0" measureFilter="1" sortType="descending">
      <items count="417">
        <item x="111"/>
        <item x="287"/>
        <item x="231"/>
        <item x="282"/>
        <item x="334"/>
        <item x="410"/>
        <item x="0"/>
        <item x="13"/>
        <item x="203"/>
        <item x="286"/>
        <item x="250"/>
        <item x="75"/>
        <item x="176"/>
        <item x="105"/>
        <item x="71"/>
        <item x="124"/>
        <item x="40"/>
        <item x="133"/>
        <item x="194"/>
        <item x="85"/>
        <item x="23"/>
        <item x="49"/>
        <item x="160"/>
        <item x="181"/>
        <item x="215"/>
        <item x="159"/>
        <item x="122"/>
        <item x="330"/>
        <item x="351"/>
        <item x="408"/>
        <item x="6"/>
        <item x="270"/>
        <item x="192"/>
        <item x="143"/>
        <item x="323"/>
        <item x="339"/>
        <item x="98"/>
        <item x="119"/>
        <item x="211"/>
        <item x="56"/>
        <item x="227"/>
        <item x="162"/>
        <item x="209"/>
        <item x="233"/>
        <item x="73"/>
        <item x="199"/>
        <item x="62"/>
        <item x="51"/>
        <item x="179"/>
        <item x="219"/>
        <item x="66"/>
        <item x="68"/>
        <item x="106"/>
        <item x="382"/>
        <item x="188"/>
        <item x="218"/>
        <item x="196"/>
        <item x="63"/>
        <item x="168"/>
        <item x="207"/>
        <item x="136"/>
        <item x="94"/>
        <item x="81"/>
        <item x="177"/>
        <item x="165"/>
        <item x="102"/>
        <item x="180"/>
        <item x="50"/>
        <item x="228"/>
        <item x="292"/>
        <item x="157"/>
        <item x="283"/>
        <item x="200"/>
        <item x="193"/>
        <item x="161"/>
        <item x="214"/>
        <item x="167"/>
        <item x="89"/>
        <item x="129"/>
        <item x="284"/>
        <item x="69"/>
        <item x="144"/>
        <item x="224"/>
        <item x="368"/>
        <item x="328"/>
        <item x="338"/>
        <item x="362"/>
        <item x="353"/>
        <item x="350"/>
        <item x="321"/>
        <item x="315"/>
        <item x="301"/>
        <item x="307"/>
        <item x="413"/>
        <item x="401"/>
        <item x="387"/>
        <item x="385"/>
        <item x="309"/>
        <item x="298"/>
        <item x="295"/>
        <item x="303"/>
        <item x="297"/>
        <item x="342"/>
        <item x="394"/>
        <item x="391"/>
        <item x="169"/>
        <item x="77"/>
        <item x="117"/>
        <item x="178"/>
        <item x="186"/>
        <item x="127"/>
        <item x="173"/>
        <item x="110"/>
        <item x="241"/>
        <item x="210"/>
        <item x="118"/>
        <item x="15"/>
        <item x="197"/>
        <item x="222"/>
        <item x="183"/>
        <item x="245"/>
        <item x="156"/>
        <item x="202"/>
        <item x="72"/>
        <item x="78"/>
        <item x="149"/>
        <item x="150"/>
        <item x="30"/>
        <item x="12"/>
        <item x="134"/>
        <item x="131"/>
        <item x="135"/>
        <item x="113"/>
        <item x="154"/>
        <item x="58"/>
        <item x="185"/>
        <item x="234"/>
        <item x="88"/>
        <item x="137"/>
        <item x="239"/>
        <item x="107"/>
        <item x="8"/>
        <item x="35"/>
        <item x="86"/>
        <item x="226"/>
        <item x="164"/>
        <item x="126"/>
        <item x="174"/>
        <item x="130"/>
        <item x="236"/>
        <item x="100"/>
        <item x="257"/>
        <item x="147"/>
        <item x="17"/>
        <item x="232"/>
        <item x="249"/>
        <item x="103"/>
        <item x="116"/>
        <item x="97"/>
        <item x="128"/>
        <item x="115"/>
        <item x="230"/>
        <item x="198"/>
        <item x="138"/>
        <item x="172"/>
        <item x="20"/>
        <item x="357"/>
        <item x="80"/>
        <item x="74"/>
        <item x="170"/>
        <item x="132"/>
        <item x="289"/>
        <item x="64"/>
        <item x="59"/>
        <item x="264"/>
        <item x="216"/>
        <item x="92"/>
        <item x="155"/>
        <item x="96"/>
        <item x="281"/>
        <item x="112"/>
        <item x="244"/>
        <item x="87"/>
        <item x="70"/>
        <item x="240"/>
        <item x="140"/>
        <item x="55"/>
        <item x="123"/>
        <item x="275"/>
        <item x="61"/>
        <item x="279"/>
        <item x="273"/>
        <item x="67"/>
        <item x="381"/>
        <item x="380"/>
        <item x="263"/>
        <item x="259"/>
        <item x="53"/>
        <item x="139"/>
        <item x="354"/>
        <item x="57"/>
        <item x="220"/>
        <item x="158"/>
        <item x="322"/>
        <item x="205"/>
        <item x="195"/>
        <item x="364"/>
        <item x="376"/>
        <item x="82"/>
        <item x="242"/>
        <item x="104"/>
        <item x="223"/>
        <item x="229"/>
        <item x="142"/>
        <item x="191"/>
        <item x="208"/>
        <item x="251"/>
        <item x="65"/>
        <item x="54"/>
        <item x="237"/>
        <item x="10"/>
        <item x="201"/>
        <item x="60"/>
        <item x="355"/>
        <item x="406"/>
        <item x="235"/>
        <item x="24"/>
        <item x="32"/>
        <item x="46"/>
        <item x="84"/>
        <item x="184"/>
        <item x="276"/>
        <item x="45"/>
        <item x="3"/>
        <item x="91"/>
        <item x="48"/>
        <item x="310"/>
        <item x="99"/>
        <item x="109"/>
        <item x="217"/>
        <item x="93"/>
        <item x="248"/>
        <item x="212"/>
        <item x="246"/>
        <item x="187"/>
        <item x="384"/>
        <item x="225"/>
        <item x="356"/>
        <item x="412"/>
        <item x="291"/>
        <item x="344"/>
        <item x="375"/>
        <item x="25"/>
        <item x="302"/>
        <item x="175"/>
        <item x="42"/>
        <item x="44"/>
        <item x="243"/>
        <item x="329"/>
        <item x="359"/>
        <item x="399"/>
        <item x="18"/>
        <item x="272"/>
        <item x="327"/>
        <item x="325"/>
        <item x="206"/>
        <item x="404"/>
        <item x="288"/>
        <item x="221"/>
        <item x="171"/>
        <item x="358"/>
        <item x="346"/>
        <item x="343"/>
        <item x="365"/>
        <item x="366"/>
        <item x="331"/>
        <item x="318"/>
        <item x="313"/>
        <item x="316"/>
        <item x="397"/>
        <item x="409"/>
        <item x="374"/>
        <item x="319"/>
        <item x="293"/>
        <item x="304"/>
        <item x="337"/>
        <item x="383"/>
        <item x="373"/>
        <item x="90"/>
        <item x="2"/>
        <item x="38"/>
        <item x="153"/>
        <item x="152"/>
        <item x="11"/>
        <item x="79"/>
        <item x="31"/>
        <item x="5"/>
        <item x="190"/>
        <item x="252"/>
        <item x="43"/>
        <item x="253"/>
        <item x="146"/>
        <item x="258"/>
        <item x="120"/>
        <item x="14"/>
        <item x="347"/>
        <item x="308"/>
        <item x="260"/>
        <item x="280"/>
        <item x="83"/>
        <item x="204"/>
        <item x="114"/>
        <item x="277"/>
        <item x="390"/>
        <item x="392"/>
        <item x="271"/>
        <item x="269"/>
        <item x="349"/>
        <item x="345"/>
        <item x="411"/>
        <item x="9"/>
        <item x="348"/>
        <item x="395"/>
        <item x="29"/>
        <item x="278"/>
        <item x="19"/>
        <item x="21"/>
        <item x="300"/>
        <item x="52"/>
        <item x="189"/>
        <item x="402"/>
        <item x="352"/>
        <item x="415"/>
        <item x="285"/>
        <item x="341"/>
        <item x="396"/>
        <item x="16"/>
        <item x="311"/>
        <item x="238"/>
        <item x="36"/>
        <item x="1"/>
        <item x="335"/>
        <item x="360"/>
        <item x="378"/>
        <item x="28"/>
        <item x="268"/>
        <item x="336"/>
        <item x="320"/>
        <item x="166"/>
        <item x="388"/>
        <item x="306"/>
        <item x="76"/>
        <item x="95"/>
        <item x="367"/>
        <item x="324"/>
        <item x="340"/>
        <item x="371"/>
        <item x="370"/>
        <item x="332"/>
        <item x="299"/>
        <item x="294"/>
        <item x="305"/>
        <item x="389"/>
        <item x="379"/>
        <item x="377"/>
        <item x="312"/>
        <item x="296"/>
        <item x="317"/>
        <item x="333"/>
        <item x="400"/>
        <item x="405"/>
        <item x="163"/>
        <item x="27"/>
        <item x="41"/>
        <item x="148"/>
        <item x="145"/>
        <item x="22"/>
        <item x="121"/>
        <item x="47"/>
        <item x="7"/>
        <item x="182"/>
        <item x="256"/>
        <item x="34"/>
        <item x="255"/>
        <item x="151"/>
        <item x="254"/>
        <item x="247"/>
        <item x="26"/>
        <item x="363"/>
        <item x="314"/>
        <item x="261"/>
        <item x="274"/>
        <item x="125"/>
        <item x="213"/>
        <item x="108"/>
        <item x="262"/>
        <item x="414"/>
        <item x="403"/>
        <item x="267"/>
        <item x="266"/>
        <item x="369"/>
        <item x="326"/>
        <item x="398"/>
        <item x="37"/>
        <item x="361"/>
        <item x="407"/>
        <item x="4"/>
        <item x="265"/>
        <item x="39"/>
        <item x="33"/>
        <item x="290"/>
        <item x="141"/>
        <item x="101"/>
        <item x="386"/>
        <item x="372"/>
        <item x="393"/>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dataField="1" showAll="0"/>
    <pivotField showAll="0"/>
    <pivotField showAll="0"/>
    <pivotField dataField="1" showAll="0"/>
    <pivotField dataField="1" showAll="0"/>
    <pivotField dataField="1" showAll="0"/>
    <pivotField showAll="0"/>
    <pivotField showAll="0"/>
    <pivotField showAll="0"/>
    <pivotField numFmtId="10" showAll="0"/>
    <pivotField dataField="1" dragToRow="0" dragToCol="0" dragToPage="0" showAll="0" defaultSubtotal="0"/>
    <pivotField dataField="1" dragToRow="0" dragToCol="0" dragToPage="0" showAll="0" defaultSubtotal="0"/>
    <pivotField dataField="1" dragToRow="0" dragToCol="0" dragToPage="0" showAll="0" defaultSubtotal="0"/>
    <pivotField dataField="1" dragToRow="0" dragToCol="0" dragToPage="0" showAll="0" defaultSubtotal="0"/>
  </pivotFields>
  <rowFields count="2">
    <field x="0"/>
    <field x="2"/>
  </rowFields>
  <rowItems count="105">
    <i>
      <x/>
    </i>
    <i r="1">
      <x v="113"/>
    </i>
    <i r="1">
      <x v="45"/>
    </i>
    <i r="1">
      <x v="138"/>
    </i>
    <i r="1">
      <x v="49"/>
    </i>
    <i r="1">
      <x v="153"/>
    </i>
    <i r="1">
      <x v="139"/>
    </i>
    <i r="1">
      <x v="185"/>
    </i>
    <i r="1">
      <x v="144"/>
    </i>
    <i r="1">
      <x v="141"/>
    </i>
    <i r="1">
      <x v="140"/>
    </i>
    <i r="1">
      <x v="151"/>
    </i>
    <i r="1">
      <x v="191"/>
    </i>
    <i r="1">
      <x v="125"/>
    </i>
    <i r="1">
      <x v="73"/>
    </i>
    <i r="1">
      <x v="3"/>
    </i>
    <i r="1">
      <x v="128"/>
    </i>
    <i r="1">
      <x v="80"/>
    </i>
    <i r="1">
      <x v="157"/>
    </i>
    <i r="1">
      <x v="22"/>
    </i>
    <i r="1">
      <x v="196"/>
    </i>
    <i r="1">
      <x v="66"/>
    </i>
    <i r="1">
      <x v="154"/>
    </i>
    <i r="1">
      <x v="240"/>
    </i>
    <i r="1">
      <x v="25"/>
    </i>
    <i r="1">
      <x v="70"/>
    </i>
    <i r="1">
      <x v="44"/>
    </i>
    <i r="1">
      <x v="37"/>
    </i>
    <i r="1">
      <x v="133"/>
    </i>
    <i r="1">
      <x v="201"/>
    </i>
    <i r="1">
      <x v="79"/>
    </i>
    <i r="1">
      <x v="149"/>
    </i>
    <i r="1">
      <x v="13"/>
    </i>
    <i r="1">
      <x v="135"/>
    </i>
    <i r="1">
      <x v="167"/>
    </i>
    <i r="1">
      <x v="58"/>
    </i>
    <i r="1">
      <x v="190"/>
    </i>
    <i r="1">
      <x v="165"/>
    </i>
    <i r="1">
      <x v="142"/>
    </i>
    <i r="1">
      <x v="204"/>
    </i>
    <i r="1">
      <x v="10"/>
    </i>
    <i r="1">
      <x v="114"/>
    </i>
    <i r="1">
      <x v="241"/>
    </i>
    <i r="1">
      <x v="156"/>
    </i>
    <i r="1">
      <x v="239"/>
    </i>
    <i r="1">
      <x v="118"/>
    </i>
    <i r="1">
      <x v="155"/>
    </i>
    <i r="1">
      <x v="134"/>
    </i>
    <i r="1">
      <x v="411"/>
    </i>
    <i r="1">
      <x v="269"/>
    </i>
    <i r="1">
      <x v="108"/>
    </i>
    <i r="1">
      <x v="307"/>
    </i>
    <i r="1">
      <x v="130"/>
    </i>
    <i r="1">
      <x v="115"/>
    </i>
    <i r="1">
      <x v="181"/>
    </i>
    <i r="1">
      <x v="116"/>
    </i>
    <i r="1">
      <x v="217"/>
    </i>
    <i r="1">
      <x v="192"/>
    </i>
    <i r="1">
      <x v="147"/>
    </i>
    <i r="1">
      <x v="228"/>
    </i>
    <i r="1">
      <x v="33"/>
    </i>
    <i>
      <x v="1"/>
    </i>
    <i r="1">
      <x v="139"/>
    </i>
    <i r="1">
      <x v="191"/>
    </i>
    <i r="1">
      <x v="138"/>
    </i>
    <i r="1">
      <x v="113"/>
    </i>
    <i r="1">
      <x v="133"/>
    </i>
    <i r="1">
      <x v="45"/>
    </i>
    <i r="1">
      <x v="144"/>
    </i>
    <i r="1">
      <x v="49"/>
    </i>
    <i r="1">
      <x v="125"/>
    </i>
    <i r="1">
      <x v="114"/>
    </i>
    <i r="1">
      <x v="190"/>
    </i>
    <i r="1">
      <x v="156"/>
    </i>
    <i r="1">
      <x v="140"/>
    </i>
    <i>
      <x v="2"/>
    </i>
    <i r="1">
      <x v="28"/>
    </i>
    <i r="1">
      <x v="87"/>
    </i>
    <i r="1">
      <x v="236"/>
    </i>
    <i r="1">
      <x v="199"/>
    </i>
    <i r="1">
      <x v="83"/>
    </i>
    <i r="1">
      <x v="69"/>
    </i>
    <i r="1">
      <x v="89"/>
    </i>
    <i r="1">
      <x v="100"/>
    </i>
    <i r="1">
      <x v="270"/>
    </i>
    <i r="1">
      <x v="206"/>
    </i>
    <i r="1">
      <x v="350"/>
    </i>
    <i r="1">
      <x v="85"/>
    </i>
    <i r="1">
      <x v="259"/>
    </i>
    <i r="1">
      <x v="358"/>
    </i>
    <i r="1">
      <x v="321"/>
    </i>
    <i r="1">
      <x v="223"/>
    </i>
    <i r="1">
      <x v="353"/>
    </i>
    <i r="1">
      <x v="90"/>
    </i>
    <i r="1">
      <x v="317"/>
    </i>
    <i r="1">
      <x v="274"/>
    </i>
    <i r="1">
      <x v="327"/>
    </i>
    <i r="1">
      <x v="278"/>
    </i>
    <i r="1">
      <x v="276"/>
    </i>
    <i r="1">
      <x v="275"/>
    </i>
    <i r="1">
      <x v="171"/>
    </i>
    <i r="1">
      <x v="410"/>
    </i>
    <i r="1">
      <x v="354"/>
    </i>
    <i r="1">
      <x v="400"/>
    </i>
    <i t="grand">
      <x/>
    </i>
  </rowItems>
  <colFields count="1">
    <field x="-2"/>
  </colFields>
  <colItems count="8">
    <i>
      <x/>
    </i>
    <i i="1">
      <x v="1"/>
    </i>
    <i i="2">
      <x v="2"/>
    </i>
    <i i="3">
      <x v="3"/>
    </i>
    <i i="4">
      <x v="4"/>
    </i>
    <i i="5">
      <x v="5"/>
    </i>
    <i i="6">
      <x v="6"/>
    </i>
    <i i="7">
      <x v="7"/>
    </i>
  </colItems>
  <dataFields count="8">
    <dataField name="Sum:Impr." fld="12" baseField="0" baseItem="0"/>
    <dataField name="Sum:Conversions" fld="7" baseField="0" baseItem="0"/>
    <dataField name="Sum:Clicks" fld="10" baseField="0" baseItem="0"/>
    <dataField name="Sum:Cost" fld="11" baseField="0" baseItem="0" numFmtId="179"/>
    <dataField name="Sum:CTR‘" fld="17" baseField="0" baseItem="0" numFmtId="10"/>
    <dataField name="Sum:CVR" fld="18" baseField="0" baseItem="0" numFmtId="10"/>
    <dataField name="Sum:CPA" fld="19" baseField="0" baseItem="0" numFmtId="179"/>
    <dataField name="Sum:CPC" fld="20" baseField="0" baseItem="0" numFmtId="179"/>
  </dataFields>
  <formats count="12">
    <format dxfId="74">
      <pivotArea outline="0" collapsedLevelsAreSubtotals="1" fieldPosition="0">
        <references count="1">
          <reference field="4294967294" count="1" selected="0">
            <x v="7"/>
          </reference>
        </references>
      </pivotArea>
    </format>
    <format dxfId="73">
      <pivotArea dataOnly="0" labelOnly="1" outline="0" fieldPosition="0">
        <references count="1">
          <reference field="4294967294" count="1">
            <x v="7"/>
          </reference>
        </references>
      </pivotArea>
    </format>
    <format dxfId="72">
      <pivotArea outline="0" collapsedLevelsAreSubtotals="1" fieldPosition="0">
        <references count="1">
          <reference field="4294967294" count="1" selected="0">
            <x v="6"/>
          </reference>
        </references>
      </pivotArea>
    </format>
    <format dxfId="71">
      <pivotArea dataOnly="0" labelOnly="1" outline="0" fieldPosition="0">
        <references count="1">
          <reference field="4294967294" count="1">
            <x v="6"/>
          </reference>
        </references>
      </pivotArea>
    </format>
    <format dxfId="70">
      <pivotArea outline="0" collapsedLevelsAreSubtotals="1" fieldPosition="0">
        <references count="1">
          <reference field="4294967294" count="1" selected="0">
            <x v="4"/>
          </reference>
        </references>
      </pivotArea>
    </format>
    <format dxfId="69">
      <pivotArea dataOnly="0" labelOnly="1" outline="0" fieldPosition="0">
        <references count="1">
          <reference field="4294967294" count="1">
            <x v="4"/>
          </reference>
        </references>
      </pivotArea>
    </format>
    <format dxfId="68">
      <pivotArea outline="0" collapsedLevelsAreSubtotals="1" fieldPosition="0">
        <references count="1">
          <reference field="4294967294" count="1" selected="0">
            <x v="5"/>
          </reference>
        </references>
      </pivotArea>
    </format>
    <format dxfId="67">
      <pivotArea dataOnly="0" labelOnly="1" outline="0" fieldPosition="0">
        <references count="1">
          <reference field="4294967294" count="1">
            <x v="5"/>
          </reference>
        </references>
      </pivotArea>
    </format>
    <format dxfId="66">
      <pivotArea outline="0" collapsedLevelsAreSubtotals="1" fieldPosition="0">
        <references count="1">
          <reference field="4294967294" count="1" selected="0">
            <x v="3"/>
          </reference>
        </references>
      </pivotArea>
    </format>
    <format dxfId="65">
      <pivotArea dataOnly="0" labelOnly="1" outline="0" fieldPosition="0">
        <references count="1">
          <reference field="4294967294" count="1">
            <x v="3"/>
          </reference>
        </references>
      </pivotArea>
    </format>
    <format dxfId="64">
      <pivotArea collapsedLevelsAreSubtotals="1" fieldPosition="0">
        <references count="2">
          <reference field="0" count="1" selected="0">
            <x v="2"/>
          </reference>
          <reference field="2" count="1">
            <x v="321"/>
          </reference>
        </references>
      </pivotArea>
    </format>
    <format dxfId="63">
      <pivotArea dataOnly="0" labelOnly="1" fieldPosition="0">
        <references count="2">
          <reference field="0" count="1" selected="0">
            <x v="2"/>
          </reference>
          <reference field="2" count="1">
            <x v="321"/>
          </reference>
        </references>
      </pivotArea>
    </format>
  </formats>
  <conditionalFormats count="3">
    <conditionalFormat priority="1">
      <pivotAreas count="1">
        <pivotArea type="data" collapsedLevelsAreSubtotals="1" fieldPosition="0">
          <references count="2">
            <reference field="4294967294" count="1" selected="0">
              <x v="4"/>
            </reference>
            <reference field="2" count="89">
              <x v="3"/>
              <x v="10"/>
              <x v="13"/>
              <x v="22"/>
              <x v="25"/>
              <x v="28"/>
              <x v="33"/>
              <x v="37"/>
              <x v="44"/>
              <x v="45"/>
              <x v="49"/>
              <x v="58"/>
              <x v="66"/>
              <x v="69"/>
              <x v="70"/>
              <x v="73"/>
              <x v="79"/>
              <x v="80"/>
              <x v="83"/>
              <x v="85"/>
              <x v="87"/>
              <x v="89"/>
              <x v="90"/>
              <x v="100"/>
              <x v="108"/>
              <x v="113"/>
              <x v="114"/>
              <x v="115"/>
              <x v="116"/>
              <x v="118"/>
              <x v="125"/>
              <x v="128"/>
              <x v="130"/>
              <x v="133"/>
              <x v="134"/>
              <x v="135"/>
              <x v="138"/>
              <x v="139"/>
              <x v="140"/>
              <x v="141"/>
              <x v="142"/>
              <x v="144"/>
              <x v="147"/>
              <x v="149"/>
              <x v="151"/>
              <x v="153"/>
              <x v="154"/>
              <x v="155"/>
              <x v="156"/>
              <x v="157"/>
              <x v="165"/>
              <x v="167"/>
              <x v="171"/>
              <x v="181"/>
              <x v="185"/>
              <x v="190"/>
              <x v="191"/>
              <x v="192"/>
              <x v="196"/>
              <x v="199"/>
              <x v="201"/>
              <x v="204"/>
              <x v="206"/>
              <x v="217"/>
              <x v="223"/>
              <x v="228"/>
              <x v="236"/>
              <x v="239"/>
              <x v="240"/>
              <x v="241"/>
              <x v="259"/>
              <x v="269"/>
              <x v="270"/>
              <x v="274"/>
              <x v="275"/>
              <x v="276"/>
              <x v="278"/>
              <x v="307"/>
              <x v="315"/>
              <x v="317"/>
              <x v="321"/>
              <x v="327"/>
              <x v="350"/>
              <x v="353"/>
              <x v="354"/>
              <x v="358"/>
              <x v="400"/>
              <x v="410"/>
              <x v="411"/>
            </reference>
          </references>
        </pivotArea>
      </pivotAreas>
    </conditionalFormat>
    <conditionalFormat priority="2">
      <pivotAreas count="1">
        <pivotArea type="data" collapsedLevelsAreSubtotals="1" fieldPosition="0">
          <references count="2">
            <reference field="4294967294" count="1" selected="0">
              <x v="5"/>
            </reference>
            <reference field="2" count="89">
              <x v="3"/>
              <x v="10"/>
              <x v="13"/>
              <x v="22"/>
              <x v="25"/>
              <x v="28"/>
              <x v="33"/>
              <x v="37"/>
              <x v="44"/>
              <x v="45"/>
              <x v="49"/>
              <x v="58"/>
              <x v="66"/>
              <x v="69"/>
              <x v="70"/>
              <x v="73"/>
              <x v="79"/>
              <x v="80"/>
              <x v="83"/>
              <x v="85"/>
              <x v="87"/>
              <x v="89"/>
              <x v="90"/>
              <x v="100"/>
              <x v="108"/>
              <x v="113"/>
              <x v="114"/>
              <x v="115"/>
              <x v="116"/>
              <x v="118"/>
              <x v="125"/>
              <x v="128"/>
              <x v="130"/>
              <x v="133"/>
              <x v="134"/>
              <x v="135"/>
              <x v="138"/>
              <x v="139"/>
              <x v="140"/>
              <x v="141"/>
              <x v="142"/>
              <x v="144"/>
              <x v="147"/>
              <x v="149"/>
              <x v="151"/>
              <x v="153"/>
              <x v="154"/>
              <x v="155"/>
              <x v="156"/>
              <x v="157"/>
              <x v="165"/>
              <x v="167"/>
              <x v="171"/>
              <x v="181"/>
              <x v="185"/>
              <x v="190"/>
              <x v="191"/>
              <x v="192"/>
              <x v="196"/>
              <x v="199"/>
              <x v="201"/>
              <x v="204"/>
              <x v="206"/>
              <x v="217"/>
              <x v="223"/>
              <x v="228"/>
              <x v="236"/>
              <x v="239"/>
              <x v="240"/>
              <x v="241"/>
              <x v="259"/>
              <x v="269"/>
              <x v="270"/>
              <x v="274"/>
              <x v="275"/>
              <x v="276"/>
              <x v="278"/>
              <x v="307"/>
              <x v="315"/>
              <x v="317"/>
              <x v="321"/>
              <x v="327"/>
              <x v="350"/>
              <x v="353"/>
              <x v="354"/>
              <x v="358"/>
              <x v="400"/>
              <x v="410"/>
              <x v="411"/>
            </reference>
          </references>
        </pivotArea>
      </pivotAreas>
    </conditionalFormat>
    <conditionalFormat priority="3">
      <pivotAreas count="1">
        <pivotArea type="data" collapsedLevelsAreSubtotals="1" fieldPosition="0">
          <references count="2">
            <reference field="4294967294" count="1" selected="0">
              <x v="6"/>
            </reference>
            <reference field="2" count="89">
              <x v="3"/>
              <x v="10"/>
              <x v="13"/>
              <x v="22"/>
              <x v="25"/>
              <x v="28"/>
              <x v="33"/>
              <x v="37"/>
              <x v="44"/>
              <x v="45"/>
              <x v="49"/>
              <x v="58"/>
              <x v="66"/>
              <x v="69"/>
              <x v="70"/>
              <x v="73"/>
              <x v="79"/>
              <x v="80"/>
              <x v="83"/>
              <x v="85"/>
              <x v="87"/>
              <x v="89"/>
              <x v="90"/>
              <x v="100"/>
              <x v="108"/>
              <x v="113"/>
              <x v="114"/>
              <x v="115"/>
              <x v="116"/>
              <x v="118"/>
              <x v="125"/>
              <x v="128"/>
              <x v="130"/>
              <x v="133"/>
              <x v="134"/>
              <x v="135"/>
              <x v="138"/>
              <x v="139"/>
              <x v="140"/>
              <x v="141"/>
              <x v="142"/>
              <x v="144"/>
              <x v="147"/>
              <x v="149"/>
              <x v="151"/>
              <x v="153"/>
              <x v="154"/>
              <x v="155"/>
              <x v="156"/>
              <x v="157"/>
              <x v="165"/>
              <x v="167"/>
              <x v="171"/>
              <x v="181"/>
              <x v="185"/>
              <x v="190"/>
              <x v="191"/>
              <x v="192"/>
              <x v="196"/>
              <x v="199"/>
              <x v="201"/>
              <x v="204"/>
              <x v="206"/>
              <x v="217"/>
              <x v="223"/>
              <x v="228"/>
              <x v="236"/>
              <x v="239"/>
              <x v="240"/>
              <x v="241"/>
              <x v="259"/>
              <x v="269"/>
              <x v="270"/>
              <x v="274"/>
              <x v="275"/>
              <x v="276"/>
              <x v="278"/>
              <x v="307"/>
              <x v="315"/>
              <x v="317"/>
              <x v="321"/>
              <x v="327"/>
              <x v="350"/>
              <x v="353"/>
              <x v="354"/>
              <x v="358"/>
              <x v="400"/>
              <x v="410"/>
              <x v="411"/>
            </reference>
          </references>
        </pivotArea>
      </pivotAreas>
    </conditionalFormat>
  </conditionalFormats>
  <pivotTableStyleInfo name="PivotStyleLight16" showRowHeaders="1" showColHeaders="1" showRowStripes="0" showColStripes="0" showLastColumn="1"/>
  <filters count="1">
    <filter fld="2" type="valueGreaterThan" evalOrder="-1" id="1" iMeasureFld="0">
      <autoFilter ref="A1">
        <filterColumn colId="0">
          <customFilters>
            <customFilter operator="greaterThan" val="1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78ACF5-D4F7-7845-9240-099B3B00CD1B}" name="数据透视表8" cacheId="41" applyNumberFormats="0" applyBorderFormats="0" applyFontFormats="0" applyPatternFormats="0" applyAlignmentFormats="0" applyWidthHeightFormats="1" dataCaption="值" grandTotalCaption="Total" updatedVersion="8" minRefreshableVersion="3" useAutoFormatting="1" itemPrintTitles="1" createdVersion="8" indent="0" outline="1" outlineData="1" multipleFieldFilters="0" rowHeaderCaption="Household Income">
  <location ref="I40:O69" firstHeaderRow="0" firstDataRow="1" firstDataCol="1"/>
  <pivotFields count="13">
    <pivotField axis="axisRow" showAll="0">
      <items count="4">
        <item x="1"/>
        <item x="0"/>
        <item x="2"/>
        <item t="default"/>
      </items>
    </pivotField>
    <pivotField axis="axisRow" showAll="0">
      <items count="8">
        <item x="6"/>
        <item x="0"/>
        <item x="1"/>
        <item x="5"/>
        <item x="4"/>
        <item x="3"/>
        <item x="2"/>
        <item t="default"/>
      </items>
    </pivotField>
    <pivotField dataField="1" showAll="0"/>
    <pivotField showAll="0"/>
    <pivotField showAll="0"/>
    <pivotField dataField="1" showAll="0"/>
    <pivotField dataField="1" showAll="0"/>
    <pivotField showAll="0"/>
    <pivotField showAll="0"/>
    <pivotField dataField="1" showAll="0"/>
    <pivotField numFmtId="10" showAll="0"/>
    <pivotField dataField="1" dragToRow="0" dragToCol="0" dragToPage="0" showAll="0" defaultSubtotal="0"/>
    <pivotField dataField="1" dragToRow="0" dragToCol="0" dragToPage="0" showAll="0" defaultSubtotal="0"/>
  </pivotFields>
  <rowFields count="2">
    <field x="1"/>
    <field x="0"/>
  </rowFields>
  <rowItems count="2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t="grand">
      <x/>
    </i>
  </rowItems>
  <colFields count="1">
    <field x="-2"/>
  </colFields>
  <colItems count="6">
    <i>
      <x/>
    </i>
    <i i="1">
      <x v="1"/>
    </i>
    <i i="2">
      <x v="2"/>
    </i>
    <i i="3">
      <x v="3"/>
    </i>
    <i i="4">
      <x v="4"/>
    </i>
    <i i="5">
      <x v="5"/>
    </i>
  </colItems>
  <dataFields count="6">
    <dataField name="Sum:Conversions" fld="2" baseField="0" baseItem="0"/>
    <dataField name="Sum:Clicks" fld="5" baseField="0" baseItem="0"/>
    <dataField name="Sum:Impr." fld="6" baseField="0" baseItem="0"/>
    <dataField name="Sum:Cost" fld="9" baseField="0" baseItem="0" numFmtId="179"/>
    <dataField name="Sum:True CPA" fld="11" baseField="0" baseItem="0" numFmtId="179"/>
    <dataField name="Sum:True CVR" fld="12" baseField="0" baseItem="0" numFmtId="10"/>
  </dataFields>
  <formats count="6">
    <format dxfId="5">
      <pivotArea outline="0" collapsedLevelsAreSubtotals="1" fieldPosition="0">
        <references count="1">
          <reference field="4294967294" count="1" selected="0">
            <x v="3"/>
          </reference>
        </references>
      </pivotArea>
    </format>
    <format dxfId="4">
      <pivotArea dataOnly="0" labelOnly="1" outline="0" fieldPosition="0">
        <references count="1">
          <reference field="4294967294" count="1">
            <x v="3"/>
          </reference>
        </references>
      </pivotArea>
    </format>
    <format dxfId="3">
      <pivotArea outline="0" collapsedLevelsAreSubtotals="1" fieldPosition="0">
        <references count="1">
          <reference field="4294967294" count="1" selected="0">
            <x v="4"/>
          </reference>
        </references>
      </pivotArea>
    </format>
    <format dxfId="2">
      <pivotArea dataOnly="0" labelOnly="1" outline="0" fieldPosition="0">
        <references count="1">
          <reference field="4294967294" count="1">
            <x v="4"/>
          </reference>
        </references>
      </pivotArea>
    </format>
    <format dxfId="1">
      <pivotArea outline="0" collapsedLevelsAreSubtotals="1" fieldPosition="0">
        <references count="1">
          <reference field="4294967294" count="1" selected="0">
            <x v="5"/>
          </reference>
        </references>
      </pivotArea>
    </format>
    <format dxfId="0">
      <pivotArea dataOnly="0" labelOnly="1" outline="0" fieldPosition="0">
        <references count="1">
          <reference field="4294967294"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68F5A8-5DF9-694F-ACD6-0DB43C0D3C58}" name="数据透视表7" cacheId="31" applyNumberFormats="0" applyBorderFormats="0" applyFontFormats="0" applyPatternFormats="0" applyAlignmentFormats="0" applyWidthHeightFormats="1" dataCaption="值" grandTotalCaption="Total" updatedVersion="8" minRefreshableVersion="3" useAutoFormatting="1" itemPrintTitles="1" createdVersion="8" indent="0" outline="1" outlineData="1" multipleFieldFilters="0" rowHeaderCaption="Gender">
  <location ref="I3:O16" firstHeaderRow="0" firstDataRow="1" firstDataCol="1"/>
  <pivotFields count="14">
    <pivotField axis="axisRow" showAll="0">
      <items count="4">
        <item x="0"/>
        <item x="2"/>
        <item x="1"/>
        <item t="default"/>
      </items>
    </pivotField>
    <pivotField axis="axisRow" showAll="0">
      <items count="4">
        <item x="1"/>
        <item x="2"/>
        <item x="0"/>
        <item t="default"/>
      </items>
    </pivotField>
    <pivotField dataField="1" showAll="0"/>
    <pivotField showAll="0"/>
    <pivotField dataField="1" showAll="0"/>
    <pivotField dataField="1" showAll="0"/>
    <pivotField dataField="1" showAll="0"/>
    <pivotField numFmtId="10" showAll="0"/>
    <pivotField showAll="0"/>
    <pivotField showAll="0"/>
    <pivotField numFmtId="10" showAll="0"/>
    <pivotField dragToRow="0" dragToCol="0" dragToPage="0" showAll="0" defaultSubtotal="0"/>
    <pivotField dataField="1" dragToRow="0" dragToCol="0" dragToPage="0" showAll="0" defaultSubtotal="0"/>
    <pivotField dataField="1" dragToRow="0" dragToCol="0" dragToPage="0" showAll="0" defaultSubtotal="0"/>
  </pivotFields>
  <rowFields count="2">
    <field x="1"/>
    <field x="0"/>
  </rowFields>
  <rowItems count="13">
    <i>
      <x/>
    </i>
    <i r="1">
      <x/>
    </i>
    <i r="1">
      <x v="1"/>
    </i>
    <i r="1">
      <x v="2"/>
    </i>
    <i>
      <x v="1"/>
    </i>
    <i r="1">
      <x/>
    </i>
    <i r="1">
      <x v="1"/>
    </i>
    <i r="1">
      <x v="2"/>
    </i>
    <i>
      <x v="2"/>
    </i>
    <i r="1">
      <x/>
    </i>
    <i r="1">
      <x v="1"/>
    </i>
    <i r="1">
      <x v="2"/>
    </i>
    <i t="grand">
      <x/>
    </i>
  </rowItems>
  <colFields count="1">
    <field x="-2"/>
  </colFields>
  <colItems count="6">
    <i>
      <x/>
    </i>
    <i i="1">
      <x v="1"/>
    </i>
    <i i="2">
      <x v="2"/>
    </i>
    <i i="3">
      <x v="3"/>
    </i>
    <i i="4">
      <x v="4"/>
    </i>
    <i i="5">
      <x v="5"/>
    </i>
  </colItems>
  <dataFields count="6">
    <dataField name="Sum:Clicks" fld="5" baseField="0" baseItem="0"/>
    <dataField name="Sum:Impr." fld="6" baseField="0" baseItem="0"/>
    <dataField name="Sum:Cost / conv." fld="4" baseField="0" baseItem="0" numFmtId="179"/>
    <dataField name="Sum:Conversions" fld="2" baseField="0" baseItem="0"/>
    <dataField name="Sum:True CPA" fld="12" baseField="0" baseItem="0" numFmtId="179"/>
    <dataField name="Sum:True CVR" fld="13" baseField="0" baseItem="0" numFmtId="10"/>
  </dataFields>
  <formats count="5">
    <format dxfId="10">
      <pivotArea outline="0" collapsedLevelsAreSubtotals="1" fieldPosition="0">
        <references count="1">
          <reference field="4294967294" count="1" selected="0">
            <x v="2"/>
          </reference>
        </references>
      </pivotArea>
    </format>
    <format dxfId="9">
      <pivotArea dataOnly="0" labelOnly="1" outline="0" fieldPosition="0">
        <references count="1">
          <reference field="4294967294" count="1">
            <x v="2"/>
          </reference>
        </references>
      </pivotArea>
    </format>
    <format dxfId="8">
      <pivotArea outline="0" collapsedLevelsAreSubtotals="1" fieldPosition="0">
        <references count="1">
          <reference field="4294967294" count="1" selected="0">
            <x v="4"/>
          </reference>
        </references>
      </pivotArea>
    </format>
    <format dxfId="7">
      <pivotArea dataOnly="0" labelOnly="1" outline="0" fieldPosition="0">
        <references count="1">
          <reference field="4294967294" count="1">
            <x v="4"/>
          </reference>
        </references>
      </pivotArea>
    </format>
    <format dxfId="6">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D0853C-89F6-EC43-994E-63CCD551A8D3}" name="数据透视表4" cacheId="15" applyNumberFormats="0" applyBorderFormats="0" applyFontFormats="0" applyPatternFormats="0" applyAlignmentFormats="0" applyWidthHeightFormats="1" dataCaption="值" grandTotalCaption="Total" updatedVersion="8" minRefreshableVersion="3" useAutoFormatting="1" itemPrintTitles="1" createdVersion="8" indent="0" outline="1" outlineData="1" multipleFieldFilters="0" chartFormat="3" rowHeaderCaption="Age">
  <location ref="A3:G33" firstHeaderRow="0" firstDataRow="1" firstDataCol="1"/>
  <pivotFields count="13">
    <pivotField axis="axisRow" showAll="0">
      <items count="4">
        <item x="0"/>
        <item x="1"/>
        <item x="2"/>
        <item t="default"/>
      </items>
    </pivotField>
    <pivotField axis="axisRow" showAll="0">
      <items count="9">
        <item x="7"/>
        <item x="6"/>
        <item x="1"/>
        <item x="5"/>
        <item x="4"/>
        <item x="0"/>
        <item x="2"/>
        <item x="3"/>
        <item t="default"/>
      </items>
    </pivotField>
    <pivotField dataField="1" showAll="0"/>
    <pivotField showAll="0"/>
    <pivotField showAll="0"/>
    <pivotField dataField="1" showAll="0"/>
    <pivotField dataField="1" showAll="0"/>
    <pivotField showAll="0"/>
    <pivotField showAll="0"/>
    <pivotField dataField="1" showAll="0"/>
    <pivotField numFmtId="10" showAll="0"/>
    <pivotField dataField="1" dragToRow="0" dragToCol="0" dragToPage="0" showAll="0" defaultSubtotal="0"/>
    <pivotField dataField="1" dragToRow="0" dragToCol="0" dragToPage="0" showAll="0" defaultSubtotal="0"/>
  </pivotFields>
  <rowFields count="2">
    <field x="1"/>
    <field x="0"/>
  </rowFields>
  <rowItems count="30">
    <i>
      <x/>
    </i>
    <i r="1">
      <x v="1"/>
    </i>
    <i r="1">
      <x v="2"/>
    </i>
    <i>
      <x v="1"/>
    </i>
    <i r="1">
      <x/>
    </i>
    <i r="1">
      <x v="1"/>
    </i>
    <i r="1">
      <x v="2"/>
    </i>
    <i>
      <x v="2"/>
    </i>
    <i r="1">
      <x/>
    </i>
    <i r="1">
      <x v="1"/>
    </i>
    <i r="1">
      <x v="2"/>
    </i>
    <i>
      <x v="3"/>
    </i>
    <i r="1">
      <x/>
    </i>
    <i r="1">
      <x v="1"/>
    </i>
    <i r="1">
      <x v="2"/>
    </i>
    <i>
      <x v="4"/>
    </i>
    <i r="1">
      <x/>
    </i>
    <i r="1">
      <x v="1"/>
    </i>
    <i r="1">
      <x v="2"/>
    </i>
    <i>
      <x v="5"/>
    </i>
    <i r="1">
      <x/>
    </i>
    <i r="1">
      <x v="1"/>
    </i>
    <i r="1">
      <x v="2"/>
    </i>
    <i>
      <x v="6"/>
    </i>
    <i r="1">
      <x/>
    </i>
    <i>
      <x v="7"/>
    </i>
    <i r="1">
      <x/>
    </i>
    <i r="1">
      <x v="1"/>
    </i>
    <i r="1">
      <x v="2"/>
    </i>
    <i t="grand">
      <x/>
    </i>
  </rowItems>
  <colFields count="1">
    <field x="-2"/>
  </colFields>
  <colItems count="6">
    <i>
      <x/>
    </i>
    <i i="1">
      <x v="1"/>
    </i>
    <i i="2">
      <x v="2"/>
    </i>
    <i i="3">
      <x v="3"/>
    </i>
    <i i="4">
      <x v="4"/>
    </i>
    <i i="5">
      <x v="5"/>
    </i>
  </colItems>
  <dataFields count="6">
    <dataField name="Sum:Clicks" fld="5" baseField="0" baseItem="0"/>
    <dataField name="Sum:Impr." fld="6" baseField="0" baseItem="0"/>
    <dataField name="Sum:Conversions" fld="2" baseField="0" baseItem="0"/>
    <dataField name="Sum:Cost" fld="9" baseField="0" baseItem="0" numFmtId="179"/>
    <dataField name="Sum: True CPA" fld="11" baseField="0" baseItem="0" numFmtId="179"/>
    <dataField name="Sum; True CVR" fld="12" baseField="0" baseItem="0" numFmtId="10"/>
  </dataFields>
  <formats count="9">
    <format dxfId="24">
      <pivotArea outline="0" collapsedLevelsAreSubtotals="1" fieldPosition="0">
        <references count="1">
          <reference field="4294967294" count="1" selected="0">
            <x v="3"/>
          </reference>
        </references>
      </pivotArea>
    </format>
    <format dxfId="25">
      <pivotArea collapsedLevelsAreSubtotals="1" fieldPosition="0">
        <references count="2">
          <reference field="4294967294" count="3" selected="0">
            <x v="0"/>
            <x v="1"/>
            <x v="2"/>
          </reference>
          <reference field="0" count="1">
            <x v="0"/>
          </reference>
        </references>
      </pivotArea>
    </format>
    <format dxfId="26">
      <pivotArea collapsedLevelsAreSubtotals="1" fieldPosition="0">
        <references count="3">
          <reference field="4294967294" count="3" selected="0">
            <x v="0"/>
            <x v="1"/>
            <x v="2"/>
          </reference>
          <reference field="0" count="1" selected="0">
            <x v="0"/>
          </reference>
          <reference field="1" count="7">
            <x v="1"/>
            <x v="2"/>
            <x v="3"/>
            <x v="4"/>
            <x v="5"/>
            <x v="6"/>
            <x v="7"/>
          </reference>
        </references>
      </pivotArea>
    </format>
    <format dxfId="27">
      <pivotArea collapsedLevelsAreSubtotals="1" fieldPosition="0">
        <references count="2">
          <reference field="4294967294" count="3" selected="0">
            <x v="0"/>
            <x v="1"/>
            <x v="2"/>
          </reference>
          <reference field="0" count="1">
            <x v="1"/>
          </reference>
        </references>
      </pivotArea>
    </format>
    <format dxfId="28">
      <pivotArea collapsedLevelsAreSubtotals="1" fieldPosition="0">
        <references count="3">
          <reference field="4294967294" count="3" selected="0">
            <x v="0"/>
            <x v="1"/>
            <x v="2"/>
          </reference>
          <reference field="0" count="1" selected="0">
            <x v="1"/>
          </reference>
          <reference field="1" count="7">
            <x v="0"/>
            <x v="1"/>
            <x v="2"/>
            <x v="3"/>
            <x v="4"/>
            <x v="5"/>
            <x v="7"/>
          </reference>
        </references>
      </pivotArea>
    </format>
    <format dxfId="29">
      <pivotArea collapsedLevelsAreSubtotals="1" fieldPosition="0">
        <references count="2">
          <reference field="4294967294" count="3" selected="0">
            <x v="0"/>
            <x v="1"/>
            <x v="2"/>
          </reference>
          <reference field="0" count="1">
            <x v="2"/>
          </reference>
        </references>
      </pivotArea>
    </format>
    <format dxfId="30">
      <pivotArea collapsedLevelsAreSubtotals="1" fieldPosition="0">
        <references count="3">
          <reference field="4294967294" count="3" selected="0">
            <x v="0"/>
            <x v="1"/>
            <x v="2"/>
          </reference>
          <reference field="0" count="1" selected="0">
            <x v="2"/>
          </reference>
          <reference field="1" count="7">
            <x v="0"/>
            <x v="1"/>
            <x v="2"/>
            <x v="3"/>
            <x v="4"/>
            <x v="5"/>
            <x v="7"/>
          </reference>
        </references>
      </pivotArea>
    </format>
    <format dxfId="31">
      <pivotArea outline="0" collapsedLevelsAreSubtotals="1" fieldPosition="0">
        <references count="1">
          <reference field="4294967294" count="1" selected="0">
            <x v="4"/>
          </reference>
        </references>
      </pivotArea>
    </format>
    <format dxfId="32">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B4B4CD-5E05-406F-9A61-89F4C456ED3F}" name="Table3" displayName="Table3" ref="E3:J7" totalsRowShown="0" headerRowDxfId="88" tableBorderDxfId="87">
  <autoFilter ref="E3:J7" xr:uid="{65B4B4CD-5E05-406F-9A61-89F4C456ED3F}"/>
  <tableColumns count="6">
    <tableColumn id="1" xr3:uid="{B4EE0DCD-6743-4971-9834-080CE53A2612}" name="CTR" dataDxfId="86"/>
    <tableColumn id="2" xr3:uid="{AA0677C2-CC93-4F6E-9D48-4CC181987589}" name="Avg. CPC" dataDxfId="85"/>
    <tableColumn id="3" xr3:uid="{9C30F45B-921A-4CAC-922E-2ACF1871CB22}" name="Cost" dataDxfId="84"/>
    <tableColumn id="4" xr3:uid="{0BD75396-BB7B-4EB7-AA11-FB86E4DAFEF7}" name="Conversions" dataDxfId="83"/>
    <tableColumn id="5" xr3:uid="{888BCC47-9315-4ED3-9F48-2A2A03F93116}" name="Conv. Rate" dataDxfId="82"/>
    <tableColumn id="6" xr3:uid="{7DBA4D1C-0A1B-4608-ABFF-3A6FAE439686}" name="Cost / Conv. (CPA)" dataDxfId="81"/>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EB7C20-AF72-CC4F-93D7-AB50CECE0010}" name="表2" displayName="表2" ref="A1:Q708" totalsRowShown="0">
  <autoFilter ref="A1:Q708" xr:uid="{42EB7C20-AF72-CC4F-93D7-AB50CECE0010}"/>
  <tableColumns count="17">
    <tableColumn id="1" xr3:uid="{8911CAE9-59F5-DA4A-A6B0-62AF3FD4BB55}" name="Campaign"/>
    <tableColumn id="2" xr3:uid="{1A99A920-3F18-B641-B59F-18FC404EEB0B}" name="Keyword status"/>
    <tableColumn id="3" xr3:uid="{FAAD1B64-6464-0449-A174-078B6C10E443}" name="Keyword"/>
    <tableColumn id="4" xr3:uid="{AF560C14-70B5-514A-9FDA-EF96D374F411}" name="Match type"/>
    <tableColumn id="5" xr3:uid="{A9363B7D-EA32-714F-BB8B-75826845324F}" name="Ad group"/>
    <tableColumn id="6" xr3:uid="{925D73C4-732E-9741-824B-6BB062FF7EF0}" name="Status"/>
    <tableColumn id="7" xr3:uid="{4280726D-B9A7-DD49-B725-23C14BEDAE09}" name="Status reasons"/>
    <tableColumn id="8" xr3:uid="{3AB24596-34C7-F34B-A97C-F695D9469ADB}" name="Conversions"/>
    <tableColumn id="9" xr3:uid="{E54AAA04-515A-5642-9C90-2278FEEF4273}" name="Currency code"/>
    <tableColumn id="10" xr3:uid="{A67C980D-62C1-6B4F-A61A-89EF0749EE25}" name="Cost / conv."/>
    <tableColumn id="11" xr3:uid="{AB8B34E0-D1CB-6742-959F-4D8717DDE576}" name="Clicks"/>
    <tableColumn id="12" xr3:uid="{CD11456B-AAB9-A042-881F-BCDDC1ABEB52}" name="Cost"/>
    <tableColumn id="13" xr3:uid="{04FBA3D3-5B64-1646-9930-F4C42A5F3FED}" name="Impr."/>
    <tableColumn id="14" xr3:uid="{4BC6F891-5CCF-0840-B94A-3BA14C475C4B}" name="CTR"/>
    <tableColumn id="15" xr3:uid="{D85D028C-0748-0745-8794-5911DE166B5D}" name="Avg. CPC"/>
    <tableColumn id="16" xr3:uid="{C96FD94A-7DFC-B14D-805C-14719877BE47}" name="Quality Score (hist.)"/>
    <tableColumn id="17" xr3:uid="{13774C5A-A68D-8F40-809E-47502FEE7992}" name="Conv. rate" dataDxfId="5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5AFF4C-9776-44F0-BC34-440709E7D492}" name="Table1" displayName="Table1" ref="A3:P31" totalsRowShown="0" headerRowDxfId="57" dataDxfId="56">
  <autoFilter ref="A3:P31" xr:uid="{735AFF4C-9776-44F0-BC34-440709E7D492}"/>
  <sortState xmlns:xlrd2="http://schemas.microsoft.com/office/spreadsheetml/2017/richdata2" ref="A4:P31">
    <sortCondition descending="1" ref="I3:I31"/>
  </sortState>
  <tableColumns count="16">
    <tableColumn id="1" xr3:uid="{78C10FA8-2C8E-48AF-BF8B-4859A78DC2C1}" name="Network (with search partners)" dataDxfId="55"/>
    <tableColumn id="2" xr3:uid="{EE68033B-3A2A-40C9-98F9-A221FC87B430}" name="Click type" dataDxfId="54"/>
    <tableColumn id="3" xr3:uid="{C73D245A-A454-4D4A-9999-B52AAE474ADE}" name="Device" dataDxfId="53"/>
    <tableColumn id="4" xr3:uid="{6501D073-A8D7-4D1E-89E4-88FB9D431F5C}" name="Campaign status" dataDxfId="52"/>
    <tableColumn id="5" xr3:uid="{F2511BDD-9B57-4790-BB34-97DC01846A6B}" name="Campaign" dataDxfId="51"/>
    <tableColumn id="6" xr3:uid="{32E6C580-C7D6-4ABE-919F-87F4421AAF14}" name="Budget" dataDxfId="50"/>
    <tableColumn id="7" xr3:uid="{4818FE4F-2737-452C-8E31-E7002915A91C}" name="Campaign type" dataDxfId="49"/>
    <tableColumn id="8" xr3:uid="{FC8869E9-D2E7-4A78-9CB3-C281FE84D6EC}" name="Clicks" dataDxfId="48"/>
    <tableColumn id="9" xr3:uid="{B660D4A7-14C4-4B18-9252-F612BA25E1D8}" name="Impr." dataDxfId="47"/>
    <tableColumn id="10" xr3:uid="{BD762597-E127-4A90-86B2-1F1D410496DF}" name="CTR" dataDxfId="46"/>
    <tableColumn id="11" xr3:uid="{A1A5C0AD-6B6A-44CA-B925-0BE986F875D3}" name="Currency code" dataDxfId="45"/>
    <tableColumn id="12" xr3:uid="{A4E36763-5A75-4328-AACC-E4145823C71E}" name="Cost" dataDxfId="44"/>
    <tableColumn id="13" xr3:uid="{F518BDC5-2CA2-49AF-8CEE-3FEE5B8C30FF}" name="Conversions" dataDxfId="43"/>
    <tableColumn id="14" xr3:uid="{960A9F53-54F8-46DA-9B6C-A87A8F114DF0}" name="Cost / conv." dataDxfId="42"/>
    <tableColumn id="15" xr3:uid="{820A49F4-3324-4746-A059-653D56257C4B}" name="Conv. rate" dataDxfId="41"/>
    <tableColumn id="16" xr3:uid="{6F855953-E865-46D9-9EF0-648E4D67C285}" name="Avg.CPC" dataDxfId="40">
      <calculatedColumnFormula>IF(Table1[[#This Row],[Clicks]]=0,0,Table1[[#This Row],[Cost]]/Table1[[#This Row],[Clicks]])</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E16871-E20A-4813-B477-0BBE8627A54B}" name="Table57" displayName="Table57" ref="R3:AD17" totalsRowShown="0">
  <autoFilter ref="R3:AD17" xr:uid="{E5E16871-E20A-4813-B477-0BBE8627A54B}"/>
  <sortState xmlns:xlrd2="http://schemas.microsoft.com/office/spreadsheetml/2017/richdata2" ref="R4:AD17">
    <sortCondition descending="1" ref="Z3:Z17"/>
  </sortState>
  <tableColumns count="13">
    <tableColumn id="1" xr3:uid="{2DA818F4-8D6E-482D-8091-8BCB28533379}" name="Campaign" dataDxfId="39"/>
    <tableColumn id="2" xr3:uid="{5CC73880-0DD5-4A41-BEBA-F8E473494A85}" name="Ad group status"/>
    <tableColumn id="3" xr3:uid="{C06A6FDB-26FF-42DC-B59B-21D778A718BB}" name="Ad group"/>
    <tableColumn id="4" xr3:uid="{2F802CB9-F350-4CC2-B65C-6B93AE02CDD1}" name="Status"/>
    <tableColumn id="5" xr3:uid="{E4C784D4-9090-4960-869A-1EFF087942B0}" name="Conversions"/>
    <tableColumn id="7" xr3:uid="{3C711C7D-26C5-45EB-8A2B-D937F55A5E9E}" name="Cost / conv."/>
    <tableColumn id="8" xr3:uid="{58DCFF49-8099-450D-AB7D-6CD4519D5718}" name="Ad group type"/>
    <tableColumn id="9" xr3:uid="{AD248A2B-9DEC-435E-8AE3-B364A27FA536}" name="Clicks"/>
    <tableColumn id="10" xr3:uid="{4B49538C-02C4-40F5-8DEA-7D596B25C70F}" name="Impr."/>
    <tableColumn id="11" xr3:uid="{4D38E70F-717B-4F7E-80AE-6E3244AF34F0}" name="CTR" dataDxfId="38"/>
    <tableColumn id="12" xr3:uid="{61325339-6792-4F1D-9711-3B67A64A2766}" name="Avg. CPC"/>
    <tableColumn id="13" xr3:uid="{A2DF67A1-5880-42B7-AAB0-8BD50B36FBC4}" name="Cost" dataDxfId="37"/>
    <tableColumn id="14" xr3:uid="{0BEAF456-2D61-4A7C-A884-00051BACD22D}" name="Conv. rate" dataDxfId="36"/>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09E04A2-AAA2-B544-9DF2-E15CA34CA867}" name="表8" displayName="表8" ref="B34:K55" totalsRowShown="0">
  <autoFilter ref="B34:K55" xr:uid="{109E04A2-AAA2-B544-9DF2-E15CA34CA867}"/>
  <tableColumns count="10">
    <tableColumn id="1" xr3:uid="{5096D453-B250-6743-9D9F-BCAF92EA5422}" name="Age"/>
    <tableColumn id="2" xr3:uid="{E85CBA03-2492-3248-845B-433E44397614}" name="Conversions"/>
    <tableColumn id="3" xr3:uid="{1B16079E-8AC5-2E47-B347-ED771573D228}" name="Currency code"/>
    <tableColumn id="4" xr3:uid="{278DFA24-63A9-E84F-9A7D-88DE7547A6CA}" name="Cost / conv."/>
    <tableColumn id="5" xr3:uid="{7625F9C9-D660-8B4D-8570-E1F0B10787EA}" name="Clicks"/>
    <tableColumn id="6" xr3:uid="{0AF71F41-3A4E-3E4B-929C-F65E6C4F7A9E}" name="Impr." dataDxfId="35"/>
    <tableColumn id="7" xr3:uid="{70C811F8-03BB-484E-BA01-EC84862E4B6B}" name="CTR" dataDxfId="34"/>
    <tableColumn id="8" xr3:uid="{5AB1CDE4-59A2-104A-9708-DD5F7A646094}" name="Avg. CPC"/>
    <tableColumn id="9" xr3:uid="{F6CE27C9-A864-D543-9593-34E055A9278B}" name="Cost"/>
    <tableColumn id="10" xr3:uid="{07428540-31EE-294C-8377-4F9364BC33FC}" name="Conv. rate" dataDxfId="33"/>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1A79BD5-FEC1-DB40-8B47-FA908F40202B}" name="表9" displayName="表9" ref="R33:AB42" totalsRowShown="0" headerRowDxfId="11" dataDxfId="12">
  <autoFilter ref="R33:AB42" xr:uid="{21A79BD5-FEC1-DB40-8B47-FA908F40202B}"/>
  <tableColumns count="11">
    <tableColumn id="1" xr3:uid="{6E4B3499-2CAF-D943-9E9C-5B8F4A22169B}" name="Campaign" dataDxfId="23"/>
    <tableColumn id="2" xr3:uid="{8DA32B0A-B584-D943-BB10-72C2A66ED8CA}" name="Gender" dataDxfId="22"/>
    <tableColumn id="3" xr3:uid="{9255E4C3-CEF7-0948-9FF7-6D277A4D5D53}" name="Conversions" dataDxfId="21"/>
    <tableColumn id="4" xr3:uid="{D9DEF7FE-D8CC-8C4E-96B1-5D83857B333A}" name="Currency code" dataDxfId="20"/>
    <tableColumn id="5" xr3:uid="{811283F3-0E60-014B-BB1F-3528F0AAFC40}" name="Cost / conv." dataDxfId="19"/>
    <tableColumn id="6" xr3:uid="{8FA7ECCE-8192-914D-9834-4698FBDC2586}" name="Clicks" dataDxfId="18"/>
    <tableColumn id="7" xr3:uid="{BD26E40D-6F29-544F-8815-93AF1CEDE7B8}" name="Impr." dataDxfId="17"/>
    <tableColumn id="8" xr3:uid="{3C04454A-0D6C-ED47-97A4-934B3C3EC243}" name="CTR" dataDxfId="16"/>
    <tableColumn id="9" xr3:uid="{BF013DD7-E324-6849-97C5-49B0FABFA38E}" name="Avg. CPC" dataDxfId="15"/>
    <tableColumn id="10" xr3:uid="{031CA278-3BC2-724A-9EC2-D5344F5D7BC7}" name="Cost" dataDxfId="14"/>
    <tableColumn id="11" xr3:uid="{E96EB347-AB24-1242-BEA8-4B873706421F}" name="Conv. rate" dataDxfId="13"/>
  </tableColumns>
  <tableStyleInfo name="TableStyleLight1"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0F889-A830-462B-A21A-67C8259D44A1}">
  <dimension ref="A2:L66"/>
  <sheetViews>
    <sheetView topLeftCell="A62" zoomScale="76" zoomScaleNormal="76" workbookViewId="0">
      <selection activeCell="C57" sqref="C57"/>
    </sheetView>
  </sheetViews>
  <sheetFormatPr baseColWidth="10" defaultColWidth="8.83203125" defaultRowHeight="15"/>
  <cols>
    <col min="1" max="1" width="60.6640625" bestFit="1" customWidth="1"/>
    <col min="2" max="2" width="14.83203125" bestFit="1" customWidth="1"/>
    <col min="3" max="3" width="14" bestFit="1" customWidth="1"/>
    <col min="4" max="4" width="21.1640625" bestFit="1" customWidth="1"/>
    <col min="5" max="5" width="13.1640625" bestFit="1" customWidth="1"/>
    <col min="6" max="8" width="17" bestFit="1" customWidth="1"/>
    <col min="9" max="10" width="20.33203125" customWidth="1"/>
  </cols>
  <sheetData>
    <row r="2" spans="1:10" ht="16" thickBot="1">
      <c r="A2" s="35" t="s">
        <v>39</v>
      </c>
      <c r="B2" s="36"/>
      <c r="C2" s="36"/>
    </row>
    <row r="3" spans="1:10" ht="16">
      <c r="A3" s="7" t="s">
        <v>34</v>
      </c>
      <c r="B3" t="s">
        <v>29</v>
      </c>
      <c r="C3" t="s">
        <v>30</v>
      </c>
      <c r="D3" t="s">
        <v>31</v>
      </c>
      <c r="E3" s="11" t="s">
        <v>9</v>
      </c>
      <c r="F3" s="12" t="s">
        <v>36</v>
      </c>
      <c r="G3" s="12" t="s">
        <v>11</v>
      </c>
      <c r="H3" s="12" t="s">
        <v>12</v>
      </c>
      <c r="I3" s="12" t="s">
        <v>37</v>
      </c>
      <c r="J3" s="12" t="s">
        <v>38</v>
      </c>
    </row>
    <row r="4" spans="1:10" ht="16" thickBot="1">
      <c r="A4" s="8" t="s">
        <v>19</v>
      </c>
      <c r="B4" s="6">
        <v>391</v>
      </c>
      <c r="C4" s="6">
        <v>13282</v>
      </c>
      <c r="D4" s="6">
        <v>31</v>
      </c>
      <c r="E4" s="18">
        <v>2.9399999999999999E-2</v>
      </c>
      <c r="F4" s="19">
        <v>4.32</v>
      </c>
      <c r="G4" s="19">
        <v>1688.72</v>
      </c>
      <c r="H4" s="20">
        <v>31</v>
      </c>
      <c r="I4" s="21">
        <v>7.9299999999999995E-2</v>
      </c>
      <c r="J4" s="22">
        <v>54.47</v>
      </c>
    </row>
    <row r="5" spans="1:10" ht="16" thickBot="1">
      <c r="A5" s="8" t="s">
        <v>25</v>
      </c>
      <c r="B5" s="6">
        <v>106</v>
      </c>
      <c r="C5" s="6">
        <v>2180</v>
      </c>
      <c r="D5" s="6">
        <v>6</v>
      </c>
      <c r="E5" s="31">
        <v>4.8599999999999997E-2</v>
      </c>
      <c r="F5" s="23">
        <v>2.89</v>
      </c>
      <c r="G5" s="23">
        <v>306.60000000000002</v>
      </c>
      <c r="H5" s="24">
        <v>6</v>
      </c>
      <c r="I5" s="25">
        <v>5.6599999999999998E-2</v>
      </c>
      <c r="J5" s="26">
        <v>51.1</v>
      </c>
    </row>
    <row r="6" spans="1:10" ht="16" thickBot="1">
      <c r="A6" s="8" t="s">
        <v>24</v>
      </c>
      <c r="B6" s="6">
        <v>470</v>
      </c>
      <c r="C6" s="32">
        <v>34131</v>
      </c>
      <c r="D6" s="6">
        <v>36</v>
      </c>
      <c r="E6" s="33">
        <v>1.38E-2</v>
      </c>
      <c r="F6" s="34">
        <v>2.58</v>
      </c>
      <c r="G6" s="27">
        <v>1211.82</v>
      </c>
      <c r="H6" s="28">
        <v>36</v>
      </c>
      <c r="I6" s="29">
        <v>7.6600000000000001E-2</v>
      </c>
      <c r="J6" s="30">
        <v>33.659999999999997</v>
      </c>
    </row>
    <row r="7" spans="1:10">
      <c r="A7" s="8" t="s">
        <v>33</v>
      </c>
      <c r="B7" s="6">
        <v>967</v>
      </c>
      <c r="C7" s="6">
        <v>49593</v>
      </c>
      <c r="D7" s="6">
        <v>73</v>
      </c>
      <c r="E7" s="13">
        <v>1.95E-2</v>
      </c>
      <c r="F7" s="14">
        <v>3.32</v>
      </c>
      <c r="G7" s="14">
        <v>3207.14</v>
      </c>
      <c r="H7" s="15">
        <v>73</v>
      </c>
      <c r="I7" s="16">
        <v>7.5499999999999998E-2</v>
      </c>
      <c r="J7" s="17">
        <v>43.93</v>
      </c>
    </row>
    <row r="25" spans="1:12">
      <c r="A25" s="37"/>
      <c r="B25" s="37"/>
      <c r="C25" s="37"/>
      <c r="D25" s="37"/>
      <c r="E25" s="37"/>
      <c r="F25" s="37"/>
      <c r="G25" s="37"/>
      <c r="H25" s="37"/>
      <c r="I25" s="37"/>
      <c r="J25" s="37"/>
      <c r="K25" s="37"/>
      <c r="L25" s="37"/>
    </row>
    <row r="26" spans="1:12">
      <c r="A26" s="35" t="s">
        <v>40</v>
      </c>
    </row>
    <row r="27" spans="1:12">
      <c r="A27" s="7" t="s">
        <v>34</v>
      </c>
      <c r="B27" t="s">
        <v>30</v>
      </c>
      <c r="C27" t="s">
        <v>29</v>
      </c>
      <c r="D27" t="s">
        <v>31</v>
      </c>
      <c r="E27" t="s">
        <v>32</v>
      </c>
      <c r="F27" s="9" t="s">
        <v>44</v>
      </c>
      <c r="G27" s="9" t="s">
        <v>45</v>
      </c>
      <c r="H27" s="9" t="s">
        <v>42</v>
      </c>
    </row>
    <row r="28" spans="1:12">
      <c r="A28" s="8" t="s">
        <v>15</v>
      </c>
      <c r="B28">
        <v>26904</v>
      </c>
      <c r="C28">
        <v>902</v>
      </c>
      <c r="D28">
        <v>67</v>
      </c>
      <c r="E28" s="45">
        <v>3081.25</v>
      </c>
      <c r="F28" s="40">
        <f>GETPIVOTDATA("Sum of Clicks",$A$27,"Network (with search partners)","Google Search")/GETPIVOTDATA("Sum of Impr.",$A$27,"Network (with search partners)","Google Search")</f>
        <v>3.3526613143027059E-2</v>
      </c>
      <c r="G28" s="42">
        <f>GETPIVOTDATA("Sum of Cost",$A$27,"Network (with search partners)","Google Search")/GETPIVOTDATA("Sum of Conversions",$A$27,"Network (with search partners)","Google Search")</f>
        <v>45.988805970149251</v>
      </c>
      <c r="H28" s="40">
        <f>GETPIVOTDATA("Sum of Conversions",$A$27,"Network (with search partners)","Google Search")/GETPIVOTDATA("Sum of Clicks",$A$27,"Network (with search partners)","Google Search")</f>
        <v>7.4279379157427938E-2</v>
      </c>
    </row>
    <row r="29" spans="1:12">
      <c r="A29" s="38" t="s">
        <v>19</v>
      </c>
      <c r="B29">
        <v>13282</v>
      </c>
      <c r="C29">
        <v>391</v>
      </c>
      <c r="D29">
        <v>31</v>
      </c>
      <c r="E29" s="45">
        <v>1688.72</v>
      </c>
      <c r="F29" s="39">
        <f>GETPIVOTDATA("Sum of Clicks",$A$27,"Network (with search partners)","Google Search","Campaign","FY23_Brave_ISA_DA Program_National_Generic")/GETPIVOTDATA("Sum of Impr.",$A$27,"Network (with search partners)","Google Search","Campaign","FY23_Brave_ISA_DA Program_National_Generic")</f>
        <v>2.9438337599759071E-2</v>
      </c>
      <c r="G29" s="43">
        <f>GETPIVOTDATA("Sum of Cost",$A$27,"Network (with search partners)","Google Search","Campaign","FY23_Brave_ISA_DA Program_National_Generic")/GETPIVOTDATA("Sum of Conversions",$A$27,"Network (with search partners)","Google Search","Campaign","FY23_Brave_ISA_DA Program_National_Generic")</f>
        <v>54.474838709677421</v>
      </c>
      <c r="H29" s="39">
        <f>GETPIVOTDATA("Sum of Conversions",$A$27,"Network (with search partners)","Google Search","Campaign","FY23_Brave_ISA_DA Program_National_Generic")/GETPIVOTDATA("Sum of Clicks",$A$27,"Network (with search partners)","Google Search","Campaign","FY23_Brave_ISA_DA Program_National_Generic")</f>
        <v>7.9283887468030695E-2</v>
      </c>
    </row>
    <row r="30" spans="1:12">
      <c r="A30" s="38" t="s">
        <v>25</v>
      </c>
      <c r="B30">
        <v>2180</v>
      </c>
      <c r="C30">
        <v>106</v>
      </c>
      <c r="D30">
        <v>6</v>
      </c>
      <c r="E30" s="45">
        <v>306.60000000000002</v>
      </c>
      <c r="F30" s="39">
        <f>GETPIVOTDATA("Sum of Clicks",$A$27,"Network (with search partners)","Google Search","Campaign","FY23_Brave_ISA_DA Program_National_Generic  Trial 836")/GETPIVOTDATA("Sum of Impr.",$A$27,"Network (with search partners)","Google Search","Campaign","FY23_Brave_ISA_DA Program_National_Generic  Trial 836")</f>
        <v>4.8623853211009177E-2</v>
      </c>
      <c r="G30" s="43">
        <f>GETPIVOTDATA("Sum of Cost",$A$27,"Network (with search partners)","Google Search","Campaign","FY23_Brave_ISA_DA Program_National_Generic  Trial 836")/GETPIVOTDATA("Sum of Conversions",$A$27,"Network (with search partners)","Google Search","Campaign","FY23_Brave_ISA_DA Program_National_Generic  Trial 836")</f>
        <v>51.1</v>
      </c>
      <c r="H30" s="39">
        <f>GETPIVOTDATA("Sum of Conversions",$A$27,"Network (with search partners)","Google Search","Campaign","FY23_Brave_ISA_DA Program_National_Generic  Trial 836")/GETPIVOTDATA("Sum of Clicks",$A$27,"Network (with search partners)","Google Search","Campaign","FY23_Brave_ISA_DA Program_National_Generic  Trial 836")</f>
        <v>5.6603773584905662E-2</v>
      </c>
    </row>
    <row r="31" spans="1:12">
      <c r="A31" s="38" t="s">
        <v>24</v>
      </c>
      <c r="B31">
        <v>11442</v>
      </c>
      <c r="C31">
        <v>405</v>
      </c>
      <c r="D31">
        <v>30</v>
      </c>
      <c r="E31" s="45">
        <v>1085.93</v>
      </c>
      <c r="F31" s="39">
        <f>GETPIVOTDATA("Sum of Clicks",$A$27,"Network (with search partners)","Google Search","Campaign","FY24_Brave_ISA_DE Program_National_Generic")/GETPIVOTDATA("Sum of Impr.",$A$27,"Network (with search partners)","Google Search","Campaign","FY24_Brave_ISA_DE Program_National_Generic")</f>
        <v>3.5395909805977975E-2</v>
      </c>
      <c r="G31" s="49">
        <f>GETPIVOTDATA("Sum of Cost",$A$27,"Network (with search partners)","Google Search","Campaign","FY24_Brave_ISA_DE Program_National_Generic")/GETPIVOTDATA("Sum of Conversions",$A$27,"Network (with search partners)","Google Search","Campaign","FY24_Brave_ISA_DE Program_National_Generic")</f>
        <v>36.19766666666667</v>
      </c>
      <c r="H31" s="48">
        <f>GETPIVOTDATA("Sum of Conversions",$A$27,"Network (with search partners)","Google Search","Campaign","FY24_Brave_ISA_DE Program_National_Generic")/GETPIVOTDATA("Sum of Clicks",$A$27,"Network (with search partners)","Google Search","Campaign","FY24_Brave_ISA_DE Program_National_Generic")</f>
        <v>7.407407407407407E-2</v>
      </c>
    </row>
    <row r="32" spans="1:12">
      <c r="A32" s="8" t="s">
        <v>22</v>
      </c>
      <c r="B32">
        <v>22689</v>
      </c>
      <c r="C32">
        <v>65</v>
      </c>
      <c r="D32">
        <v>6</v>
      </c>
      <c r="E32" s="45">
        <v>125.89</v>
      </c>
      <c r="F32" s="40">
        <f>GETPIVOTDATA("Sum of Clicks",$A$27,"Network (with search partners)","Search partners")/GETPIVOTDATA("Sum of Impr.",$A$27,"Network (with search partners)","Search partners")</f>
        <v>2.8648243642293621E-3</v>
      </c>
      <c r="G32" s="42">
        <f>GETPIVOTDATA("Sum of Cost",$A$27,"Network (with search partners)","Search partners")/GETPIVOTDATA("Sum of Conversions",$A$27,"Network (with search partners)","Search partners")</f>
        <v>20.981666666666666</v>
      </c>
      <c r="H32" s="40">
        <f>GETPIVOTDATA("Sum of Conversions",$A$27,"Network (with search partners)","Search partners")/GETPIVOTDATA("Sum of Clicks",$A$27,"Network (with search partners)","Search partners")</f>
        <v>9.2307692307692313E-2</v>
      </c>
    </row>
    <row r="33" spans="1:8">
      <c r="A33" s="38" t="s">
        <v>24</v>
      </c>
      <c r="B33">
        <v>22689</v>
      </c>
      <c r="C33">
        <v>65</v>
      </c>
      <c r="D33">
        <v>6</v>
      </c>
      <c r="E33" s="45">
        <v>125.89</v>
      </c>
      <c r="F33" s="39">
        <f>GETPIVOTDATA("Sum of Conversions",$A$27,"Network (with search partners)","Search partners","Campaign","FY24_Brave_ISA_DE Program_National_Generic")/GETPIVOTDATA("Sum of Impr.",$A$27,"Network (with search partners)","Search partners","Campaign","FY24_Brave_ISA_DE Program_National_Generic")</f>
        <v>2.6444532592886423E-4</v>
      </c>
      <c r="G33" s="50">
        <f>GETPIVOTDATA("Sum of Cost",$A$27,"Network (with search partners)","Search partners","Campaign","FY24_Brave_ISA_DE Program_National_Generic")/GETPIVOTDATA("Sum of Conversions",$A$27,"Network (with search partners)","Search partners","Campaign","FY24_Brave_ISA_DE Program_National_Generic")</f>
        <v>20.981666666666666</v>
      </c>
      <c r="H33" s="47">
        <f>GETPIVOTDATA("Sum of Conversions",$A$27,"Network (with search partners)","Search partners","Campaign","FY24_Brave_ISA_DE Program_National_Generic")/GETPIVOTDATA("Sum of Clicks",$A$27,"Network (with search partners)","Search partners","Campaign","FY24_Brave_ISA_DE Program_National_Generic")</f>
        <v>9.2307692307692313E-2</v>
      </c>
    </row>
    <row r="34" spans="1:8">
      <c r="A34" s="8" t="s">
        <v>33</v>
      </c>
      <c r="B34">
        <v>49593</v>
      </c>
      <c r="C34">
        <v>967</v>
      </c>
      <c r="D34">
        <v>73</v>
      </c>
      <c r="E34" s="45">
        <v>3207.14</v>
      </c>
      <c r="F34" s="41">
        <f>GETPIVOTDATA("Sum of Clicks",$A$27)/GETPIVOTDATA("Sum of Impr.",$A$27)</f>
        <v>1.9498719577359706E-2</v>
      </c>
      <c r="G34" s="44">
        <f>GETPIVOTDATA("Sum of Cost",$A$27)/GETPIVOTDATA("Sum of Conversions",$A$27)</f>
        <v>43.933424657534246</v>
      </c>
      <c r="H34" s="41">
        <f>GETPIVOTDATA("Sum of Conversions",$A$27)/GETPIVOTDATA("Sum of Clicks",$A$27)</f>
        <v>7.5491209927611172E-2</v>
      </c>
    </row>
    <row r="51" spans="1:12">
      <c r="A51" s="37"/>
      <c r="B51" s="37"/>
      <c r="C51" s="37"/>
      <c r="D51" s="37"/>
      <c r="E51" s="37"/>
      <c r="F51" s="37"/>
      <c r="G51" s="37"/>
      <c r="H51" s="37"/>
      <c r="I51" s="37"/>
      <c r="J51" s="37"/>
      <c r="K51" s="37"/>
      <c r="L51" s="37"/>
    </row>
    <row r="52" spans="1:12">
      <c r="A52" s="55" t="s">
        <v>46</v>
      </c>
    </row>
    <row r="53" spans="1:12">
      <c r="A53" s="7" t="s">
        <v>34</v>
      </c>
      <c r="B53" t="s">
        <v>29</v>
      </c>
      <c r="C53" t="s">
        <v>30</v>
      </c>
      <c r="D53" t="s">
        <v>31</v>
      </c>
      <c r="E53" s="45" t="s">
        <v>32</v>
      </c>
      <c r="F53" s="54" t="s">
        <v>44</v>
      </c>
      <c r="G53" s="51" t="s">
        <v>45</v>
      </c>
      <c r="H53" s="54" t="s">
        <v>42</v>
      </c>
    </row>
    <row r="54" spans="1:12">
      <c r="A54" s="8" t="s">
        <v>27</v>
      </c>
      <c r="B54">
        <v>358</v>
      </c>
      <c r="C54">
        <v>26304</v>
      </c>
      <c r="D54">
        <v>32</v>
      </c>
      <c r="E54" s="45">
        <v>1515.6399999999999</v>
      </c>
      <c r="F54" s="40">
        <v>1.3599999999999999E-2</v>
      </c>
      <c r="G54" s="58">
        <v>47.36</v>
      </c>
      <c r="H54" s="57">
        <v>8.9399999999999993E-2</v>
      </c>
    </row>
    <row r="55" spans="1:12">
      <c r="A55" s="38" t="s">
        <v>19</v>
      </c>
      <c r="B55">
        <v>135</v>
      </c>
      <c r="C55">
        <v>5463</v>
      </c>
      <c r="D55">
        <v>14</v>
      </c>
      <c r="E55" s="45">
        <v>736.28</v>
      </c>
      <c r="F55" s="39">
        <v>2.47E-2</v>
      </c>
      <c r="G55" s="45">
        <v>52.59</v>
      </c>
      <c r="H55" s="39">
        <v>0.1037</v>
      </c>
    </row>
    <row r="56" spans="1:12">
      <c r="A56" s="38" t="s">
        <v>25</v>
      </c>
      <c r="B56">
        <v>43</v>
      </c>
      <c r="C56">
        <v>940</v>
      </c>
      <c r="D56">
        <v>3</v>
      </c>
      <c r="E56" s="45">
        <v>162.80999999999997</v>
      </c>
      <c r="F56" s="39">
        <v>4.5699999999999998E-2</v>
      </c>
      <c r="G56" s="45">
        <v>54.27</v>
      </c>
      <c r="H56" s="39">
        <v>6.9800000000000001E-2</v>
      </c>
    </row>
    <row r="57" spans="1:12">
      <c r="A57" s="38" t="s">
        <v>24</v>
      </c>
      <c r="B57">
        <v>180</v>
      </c>
      <c r="C57">
        <v>19901</v>
      </c>
      <c r="D57">
        <v>15</v>
      </c>
      <c r="E57" s="45">
        <v>616.54999999999995</v>
      </c>
      <c r="F57" s="39">
        <v>8.9999999999999993E-3</v>
      </c>
      <c r="G57" s="45">
        <v>41.1</v>
      </c>
      <c r="H57" s="39">
        <v>8.3299999999999999E-2</v>
      </c>
    </row>
    <row r="58" spans="1:12">
      <c r="A58" s="8" t="s">
        <v>28</v>
      </c>
      <c r="B58" s="46">
        <v>599</v>
      </c>
      <c r="C58">
        <v>22991</v>
      </c>
      <c r="D58" s="46">
        <v>39</v>
      </c>
      <c r="E58" s="45">
        <v>1663.8300000000002</v>
      </c>
      <c r="F58" s="40">
        <v>2.6100000000000002E-2</v>
      </c>
      <c r="G58" s="52">
        <v>42.66</v>
      </c>
      <c r="H58" s="40">
        <v>6.5100000000000005E-2</v>
      </c>
    </row>
    <row r="59" spans="1:12">
      <c r="A59" s="38" t="s">
        <v>19</v>
      </c>
      <c r="B59">
        <v>253</v>
      </c>
      <c r="C59">
        <v>7697</v>
      </c>
      <c r="D59">
        <v>17</v>
      </c>
      <c r="E59" s="45">
        <v>941.96</v>
      </c>
      <c r="F59" s="39">
        <v>3.2899999999999999E-2</v>
      </c>
      <c r="G59" s="45">
        <v>55.41</v>
      </c>
      <c r="H59" s="39">
        <v>6.7199999999999996E-2</v>
      </c>
    </row>
    <row r="60" spans="1:12">
      <c r="A60" s="38" t="s">
        <v>25</v>
      </c>
      <c r="B60">
        <v>61</v>
      </c>
      <c r="C60">
        <v>1211</v>
      </c>
      <c r="D60">
        <v>3</v>
      </c>
      <c r="E60" s="45">
        <v>140.19</v>
      </c>
      <c r="F60" s="39">
        <v>5.04E-2</v>
      </c>
      <c r="G60" s="45">
        <v>46.73</v>
      </c>
      <c r="H60" s="39">
        <v>4.9200000000000001E-2</v>
      </c>
    </row>
    <row r="61" spans="1:12">
      <c r="A61" s="38" t="s">
        <v>24</v>
      </c>
      <c r="B61">
        <v>285</v>
      </c>
      <c r="C61">
        <v>14083</v>
      </c>
      <c r="D61">
        <v>19</v>
      </c>
      <c r="E61" s="45">
        <v>581.68000000000006</v>
      </c>
      <c r="F61" s="39">
        <v>2.0199999999999999E-2</v>
      </c>
      <c r="G61" s="56">
        <v>30.61</v>
      </c>
      <c r="H61" s="39">
        <v>6.6699999999999995E-2</v>
      </c>
    </row>
    <row r="62" spans="1:12" ht="15" customHeight="1">
      <c r="A62" s="8" t="s">
        <v>17</v>
      </c>
      <c r="B62" s="59">
        <v>10</v>
      </c>
      <c r="C62">
        <v>298</v>
      </c>
      <c r="D62">
        <v>2</v>
      </c>
      <c r="E62" s="45">
        <v>27.67</v>
      </c>
      <c r="F62" s="40">
        <v>3.3599999999999998E-2</v>
      </c>
      <c r="G62" s="61">
        <v>13.84</v>
      </c>
      <c r="H62" s="60">
        <v>0.2</v>
      </c>
    </row>
    <row r="63" spans="1:12">
      <c r="A63" s="38" t="s">
        <v>19</v>
      </c>
      <c r="B63">
        <v>3</v>
      </c>
      <c r="C63">
        <v>122</v>
      </c>
      <c r="D63">
        <v>0</v>
      </c>
      <c r="E63" s="45">
        <v>10.48</v>
      </c>
      <c r="F63" s="39">
        <v>2.46E-2</v>
      </c>
      <c r="G63" s="45" t="s">
        <v>43</v>
      </c>
      <c r="H63" s="39">
        <v>0</v>
      </c>
    </row>
    <row r="64" spans="1:12">
      <c r="A64" s="38" t="s">
        <v>25</v>
      </c>
      <c r="B64">
        <v>2</v>
      </c>
      <c r="C64">
        <v>29</v>
      </c>
      <c r="D64">
        <v>0</v>
      </c>
      <c r="E64" s="45">
        <v>3.6</v>
      </c>
      <c r="F64" s="39">
        <v>6.9000000000000006E-2</v>
      </c>
      <c r="G64" s="45" t="s">
        <v>43</v>
      </c>
      <c r="H64" s="39">
        <v>0</v>
      </c>
    </row>
    <row r="65" spans="1:8">
      <c r="A65" s="38" t="s">
        <v>24</v>
      </c>
      <c r="B65">
        <v>5</v>
      </c>
      <c r="C65">
        <v>147</v>
      </c>
      <c r="D65">
        <v>2</v>
      </c>
      <c r="E65" s="45">
        <v>13.59</v>
      </c>
      <c r="F65" s="39">
        <v>3.4000000000000002E-2</v>
      </c>
      <c r="G65" s="45">
        <v>6.8</v>
      </c>
      <c r="H65" s="39">
        <v>0.4</v>
      </c>
    </row>
    <row r="66" spans="1:8">
      <c r="A66" s="8" t="s">
        <v>33</v>
      </c>
      <c r="B66">
        <v>967</v>
      </c>
      <c r="C66">
        <v>49593</v>
      </c>
      <c r="D66">
        <v>73</v>
      </c>
      <c r="E66" s="45">
        <v>3207.1400000000003</v>
      </c>
      <c r="F66" s="41">
        <v>1.95E-2</v>
      </c>
      <c r="G66" s="53">
        <v>43.93</v>
      </c>
      <c r="H66" s="41">
        <v>7.5499999999999998E-2</v>
      </c>
    </row>
  </sheetData>
  <phoneticPr fontId="18" type="noConversion"/>
  <pageMargins left="0.7" right="0.7" top="0.75" bottom="0.75" header="0.3" footer="0.3"/>
  <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1907A-2702-496B-81FF-BDC23C9A9E43}">
  <dimension ref="A1:K35"/>
  <sheetViews>
    <sheetView topLeftCell="A4" zoomScaleNormal="100" workbookViewId="0">
      <selection activeCell="M25" sqref="M25"/>
    </sheetView>
  </sheetViews>
  <sheetFormatPr baseColWidth="10" defaultColWidth="8.83203125" defaultRowHeight="15"/>
  <cols>
    <col min="1" max="1" width="17.5" bestFit="1" customWidth="1"/>
    <col min="2" max="2" width="14.1640625" bestFit="1" customWidth="1"/>
    <col min="3" max="3" width="13.83203125" bestFit="1" customWidth="1"/>
    <col min="4" max="4" width="21" bestFit="1" customWidth="1"/>
    <col min="5" max="5" width="13" bestFit="1" customWidth="1"/>
    <col min="6" max="6" width="18.83203125" bestFit="1" customWidth="1"/>
    <col min="7" max="8" width="12.5" bestFit="1" customWidth="1"/>
    <col min="9" max="9" width="10.83203125" customWidth="1"/>
    <col min="10" max="10" width="10.6640625" customWidth="1"/>
    <col min="11" max="11" width="11.1640625" style="45" customWidth="1"/>
    <col min="12" max="12" width="11.5" customWidth="1"/>
  </cols>
  <sheetData>
    <row r="1" spans="1:11">
      <c r="K1"/>
    </row>
    <row r="2" spans="1:11">
      <c r="A2" s="7" t="s">
        <v>34</v>
      </c>
      <c r="B2" t="s">
        <v>29</v>
      </c>
      <c r="C2" t="s">
        <v>30</v>
      </c>
      <c r="D2" t="s">
        <v>31</v>
      </c>
      <c r="E2" t="s">
        <v>32</v>
      </c>
      <c r="F2" s="9" t="s">
        <v>41</v>
      </c>
      <c r="G2" s="9" t="s">
        <v>66</v>
      </c>
      <c r="H2" s="9" t="s">
        <v>65</v>
      </c>
      <c r="I2" s="9" t="s">
        <v>67</v>
      </c>
      <c r="K2"/>
    </row>
    <row r="3" spans="1:11">
      <c r="A3" s="8" t="s">
        <v>57</v>
      </c>
      <c r="B3">
        <v>38</v>
      </c>
      <c r="C3">
        <v>591</v>
      </c>
      <c r="D3">
        <v>2</v>
      </c>
      <c r="E3" s="45">
        <v>163.47999999999999</v>
      </c>
      <c r="F3" s="66">
        <v>5.2600000000000001E-2</v>
      </c>
      <c r="G3" s="45">
        <v>4.3</v>
      </c>
      <c r="H3" s="67">
        <v>81.739999999999995</v>
      </c>
      <c r="I3" s="1">
        <v>6.4299999999999996E-2</v>
      </c>
      <c r="K3"/>
    </row>
    <row r="4" spans="1:11">
      <c r="A4" s="8" t="s">
        <v>60</v>
      </c>
      <c r="B4">
        <v>0</v>
      </c>
      <c r="C4">
        <v>0</v>
      </c>
      <c r="D4">
        <v>0</v>
      </c>
      <c r="E4" s="45">
        <v>0</v>
      </c>
      <c r="F4" s="1">
        <v>0</v>
      </c>
      <c r="G4" s="45">
        <v>0</v>
      </c>
      <c r="H4" s="45">
        <v>0</v>
      </c>
      <c r="I4" s="1">
        <v>0</v>
      </c>
      <c r="K4"/>
    </row>
    <row r="5" spans="1:11">
      <c r="A5" s="8" t="s">
        <v>62</v>
      </c>
      <c r="B5">
        <v>158</v>
      </c>
      <c r="C5">
        <v>5464</v>
      </c>
      <c r="D5" s="46">
        <v>13.33</v>
      </c>
      <c r="E5" s="45">
        <v>435</v>
      </c>
      <c r="F5" s="1">
        <v>8.4400000000000003E-2</v>
      </c>
      <c r="G5" s="45">
        <v>2.75</v>
      </c>
      <c r="H5" s="56">
        <v>32.630000000000003</v>
      </c>
      <c r="I5" s="1">
        <v>2.8899999999999999E-2</v>
      </c>
      <c r="K5"/>
    </row>
    <row r="6" spans="1:11">
      <c r="A6" s="8" t="s">
        <v>58</v>
      </c>
      <c r="B6">
        <v>48</v>
      </c>
      <c r="C6">
        <v>1059</v>
      </c>
      <c r="D6" s="59">
        <v>1</v>
      </c>
      <c r="E6" s="68">
        <v>196.57</v>
      </c>
      <c r="F6" s="1">
        <v>2.0799999999999999E-2</v>
      </c>
      <c r="G6" s="45">
        <v>4.0999999999999996</v>
      </c>
      <c r="H6" s="67">
        <v>196.57</v>
      </c>
      <c r="I6" s="1">
        <v>4.53E-2</v>
      </c>
      <c r="K6"/>
    </row>
    <row r="7" spans="1:11">
      <c r="A7" s="8" t="s">
        <v>56</v>
      </c>
      <c r="B7">
        <v>9</v>
      </c>
      <c r="C7">
        <v>213</v>
      </c>
      <c r="D7">
        <v>1</v>
      </c>
      <c r="E7" s="45">
        <v>32.01</v>
      </c>
      <c r="F7" s="1">
        <v>0.1111</v>
      </c>
      <c r="G7" s="45">
        <v>3.56</v>
      </c>
      <c r="H7" s="45">
        <v>32.01</v>
      </c>
      <c r="I7" s="1">
        <v>4.2299999999999997E-2</v>
      </c>
      <c r="K7"/>
    </row>
    <row r="8" spans="1:11">
      <c r="A8" s="8" t="s">
        <v>61</v>
      </c>
      <c r="B8">
        <v>33</v>
      </c>
      <c r="C8">
        <v>985</v>
      </c>
      <c r="D8">
        <v>4</v>
      </c>
      <c r="E8" s="45">
        <v>80.02</v>
      </c>
      <c r="F8" s="65">
        <v>0.1212</v>
      </c>
      <c r="G8" s="45">
        <v>2.42</v>
      </c>
      <c r="H8" s="56">
        <v>20.010000000000002</v>
      </c>
      <c r="I8" s="1">
        <v>3.3500000000000002E-2</v>
      </c>
      <c r="K8"/>
    </row>
    <row r="9" spans="1:11">
      <c r="A9" s="8" t="s">
        <v>51</v>
      </c>
      <c r="B9">
        <v>24</v>
      </c>
      <c r="C9">
        <v>384</v>
      </c>
      <c r="D9" s="59">
        <v>0</v>
      </c>
      <c r="E9" s="68">
        <v>156.30000000000001</v>
      </c>
      <c r="F9" s="66">
        <v>0</v>
      </c>
      <c r="G9" s="45">
        <v>6.51</v>
      </c>
      <c r="H9" s="67">
        <v>0</v>
      </c>
      <c r="I9" s="1">
        <v>6.25E-2</v>
      </c>
      <c r="K9"/>
    </row>
    <row r="10" spans="1:11">
      <c r="A10" s="8" t="s">
        <v>54</v>
      </c>
      <c r="B10">
        <v>657</v>
      </c>
      <c r="C10">
        <v>22154</v>
      </c>
      <c r="D10" s="46">
        <v>51.67</v>
      </c>
      <c r="E10" s="45">
        <v>2143.7599999999998</v>
      </c>
      <c r="F10" s="1">
        <v>7.8600000000000003E-2</v>
      </c>
      <c r="G10" s="45">
        <v>3.26</v>
      </c>
      <c r="H10" s="45">
        <v>41.49</v>
      </c>
      <c r="I10" s="1">
        <v>2.9700000000000001E-2</v>
      </c>
      <c r="K10"/>
    </row>
    <row r="11" spans="1:11">
      <c r="A11" s="8" t="s">
        <v>33</v>
      </c>
      <c r="B11">
        <v>967</v>
      </c>
      <c r="C11">
        <v>30850</v>
      </c>
      <c r="D11">
        <v>73</v>
      </c>
      <c r="E11" s="45">
        <v>3207.1399999999994</v>
      </c>
      <c r="F11" s="64">
        <v>7.5499999999999998E-2</v>
      </c>
      <c r="G11" s="53">
        <v>3.32</v>
      </c>
      <c r="H11" s="53">
        <v>43.93</v>
      </c>
      <c r="I11" s="64">
        <v>3.1300000000000001E-2</v>
      </c>
      <c r="K11"/>
    </row>
    <row r="12" spans="1:11">
      <c r="K12"/>
    </row>
    <row r="13" spans="1:11">
      <c r="K13"/>
    </row>
    <row r="14" spans="1:11">
      <c r="K14"/>
    </row>
    <row r="15" spans="1:11">
      <c r="K15"/>
    </row>
    <row r="20" spans="11:11">
      <c r="K20"/>
    </row>
    <row r="21" spans="11:11">
      <c r="K21"/>
    </row>
    <row r="22" spans="11:11">
      <c r="K22"/>
    </row>
    <row r="23" spans="11:11">
      <c r="K23"/>
    </row>
    <row r="24" spans="11:11">
      <c r="K24"/>
    </row>
    <row r="25" spans="11:11">
      <c r="K25"/>
    </row>
    <row r="26" spans="11:11">
      <c r="K26"/>
    </row>
    <row r="27" spans="11:11">
      <c r="K27"/>
    </row>
    <row r="28" spans="11:11">
      <c r="K28"/>
    </row>
    <row r="29" spans="11:11">
      <c r="K29"/>
    </row>
    <row r="30" spans="11:11">
      <c r="K30"/>
    </row>
    <row r="31" spans="11:11">
      <c r="K31"/>
    </row>
    <row r="32" spans="11:11">
      <c r="K32"/>
    </row>
    <row r="33" spans="11:11">
      <c r="K33"/>
    </row>
    <row r="34" spans="11:11">
      <c r="K34"/>
    </row>
    <row r="35" spans="11:11">
      <c r="K35"/>
    </row>
  </sheetData>
  <phoneticPr fontId="18" type="noConversion"/>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14A26-B4E2-0A4F-914E-37DD96586926}">
  <dimension ref="A3:I708"/>
  <sheetViews>
    <sheetView topLeftCell="A30" zoomScale="62" zoomScaleNormal="150" workbookViewId="0">
      <selection activeCell="Q149" sqref="Q149"/>
    </sheetView>
  </sheetViews>
  <sheetFormatPr baseColWidth="10" defaultRowHeight="15"/>
  <cols>
    <col min="1" max="1" width="55.1640625" bestFit="1" customWidth="1"/>
    <col min="2" max="2" width="10.6640625" bestFit="1" customWidth="1"/>
    <col min="3" max="3" width="11" bestFit="1" customWidth="1"/>
    <col min="4" max="4" width="11.33203125" bestFit="1" customWidth="1"/>
    <col min="5" max="5" width="17" style="69" bestFit="1" customWidth="1"/>
    <col min="6" max="6" width="9.83203125" style="39" bestFit="1" customWidth="1"/>
    <col min="7" max="7" width="9.6640625" style="39" bestFit="1" customWidth="1"/>
    <col min="8" max="9" width="9.5" style="69" bestFit="1" customWidth="1"/>
    <col min="10" max="10" width="13.83203125" bestFit="1" customWidth="1"/>
    <col min="12" max="12" width="7.5" bestFit="1" customWidth="1"/>
    <col min="13" max="13" width="14" bestFit="1" customWidth="1"/>
    <col min="14" max="14" width="14.33203125" bestFit="1" customWidth="1"/>
    <col min="15" max="15" width="11.6640625" bestFit="1" customWidth="1"/>
    <col min="16" max="16" width="17.83203125" bestFit="1" customWidth="1"/>
    <col min="17" max="17" width="8.83203125" bestFit="1" customWidth="1"/>
    <col min="18" max="18" width="13.83203125" bestFit="1" customWidth="1"/>
    <col min="19" max="19" width="10.83203125" bestFit="1" customWidth="1"/>
    <col min="20" max="20" width="9.83203125" bestFit="1" customWidth="1"/>
    <col min="21" max="21" width="14" bestFit="1" customWidth="1"/>
    <col min="22" max="22" width="14.33203125" bestFit="1" customWidth="1"/>
    <col min="23" max="23" width="11.6640625" bestFit="1" customWidth="1"/>
    <col min="24" max="24" width="17.83203125" bestFit="1" customWidth="1"/>
    <col min="25" max="25" width="11.33203125" bestFit="1" customWidth="1"/>
    <col min="26" max="26" width="17" bestFit="1" customWidth="1"/>
    <col min="28" max="28" width="7.5" bestFit="1" customWidth="1"/>
    <col min="29" max="29" width="14" bestFit="1" customWidth="1"/>
    <col min="30" max="30" width="14.33203125" bestFit="1" customWidth="1"/>
    <col min="31" max="31" width="11.6640625" bestFit="1" customWidth="1"/>
    <col min="32" max="32" width="17.83203125" bestFit="1" customWidth="1"/>
    <col min="33" max="33" width="8.83203125" bestFit="1" customWidth="1"/>
    <col min="34" max="34" width="13.83203125" bestFit="1" customWidth="1"/>
    <col min="36" max="36" width="7.5" bestFit="1" customWidth="1"/>
    <col min="37" max="37" width="14" bestFit="1" customWidth="1"/>
    <col min="38" max="38" width="14.33203125" bestFit="1" customWidth="1"/>
    <col min="39" max="39" width="11.6640625" bestFit="1" customWidth="1"/>
    <col min="40" max="40" width="17.83203125" bestFit="1" customWidth="1"/>
    <col min="41" max="41" width="8.83203125" bestFit="1" customWidth="1"/>
    <col min="42" max="42" width="13.83203125" bestFit="1" customWidth="1"/>
    <col min="44" max="44" width="7.5" bestFit="1" customWidth="1"/>
    <col min="45" max="45" width="14" bestFit="1" customWidth="1"/>
    <col min="46" max="46" width="14.33203125" bestFit="1" customWidth="1"/>
    <col min="47" max="47" width="11.6640625" bestFit="1" customWidth="1"/>
    <col min="48" max="48" width="17.83203125" bestFit="1" customWidth="1"/>
    <col min="49" max="49" width="8.83203125" bestFit="1" customWidth="1"/>
    <col min="50" max="50" width="13.83203125" bestFit="1" customWidth="1"/>
    <col min="52" max="52" width="8.83203125" bestFit="1" customWidth="1"/>
    <col min="53" max="53" width="14" bestFit="1" customWidth="1"/>
    <col min="54" max="54" width="14.33203125" bestFit="1" customWidth="1"/>
    <col min="55" max="55" width="11.6640625" bestFit="1" customWidth="1"/>
    <col min="56" max="56" width="17.83203125" bestFit="1" customWidth="1"/>
    <col min="57" max="57" width="9.33203125" bestFit="1" customWidth="1"/>
    <col min="58" max="58" width="13.83203125" bestFit="1" customWidth="1"/>
    <col min="60" max="60" width="7.83203125" bestFit="1" customWidth="1"/>
    <col min="61" max="61" width="14" bestFit="1" customWidth="1"/>
    <col min="62" max="62" width="14.33203125" bestFit="1" customWidth="1"/>
    <col min="63" max="63" width="11.6640625" bestFit="1" customWidth="1"/>
    <col min="64" max="64" width="17.83203125" bestFit="1" customWidth="1"/>
    <col min="65" max="65" width="8.83203125" bestFit="1" customWidth="1"/>
    <col min="66" max="66" width="14.33203125" bestFit="1" customWidth="1"/>
    <col min="67" max="67" width="14.83203125" bestFit="1" customWidth="1"/>
    <col min="68" max="68" width="13.6640625" bestFit="1" customWidth="1"/>
    <col min="69" max="69" width="20.83203125" bestFit="1" customWidth="1"/>
    <col min="70" max="70" width="13.6640625" bestFit="1" customWidth="1"/>
    <col min="71" max="73" width="13.33203125" bestFit="1" customWidth="1"/>
  </cols>
  <sheetData>
    <row r="3" spans="1:9">
      <c r="A3" s="7" t="s">
        <v>510</v>
      </c>
      <c r="B3" t="s">
        <v>502</v>
      </c>
      <c r="C3" t="s">
        <v>503</v>
      </c>
      <c r="D3" t="s">
        <v>504</v>
      </c>
      <c r="E3" s="70" t="s">
        <v>505</v>
      </c>
      <c r="F3" s="1" t="s">
        <v>506</v>
      </c>
      <c r="G3" s="1" t="s">
        <v>507</v>
      </c>
      <c r="H3" s="70" t="s">
        <v>508</v>
      </c>
      <c r="I3" s="70" t="s">
        <v>509</v>
      </c>
    </row>
    <row r="4" spans="1:9">
      <c r="A4" s="8" t="s">
        <v>19</v>
      </c>
      <c r="B4">
        <v>9016</v>
      </c>
      <c r="C4">
        <v>30</v>
      </c>
      <c r="D4">
        <v>382</v>
      </c>
      <c r="E4" s="70">
        <v>1640.8899999999999</v>
      </c>
      <c r="F4" s="1">
        <v>4.2369121561668145E-2</v>
      </c>
      <c r="G4" s="1">
        <v>7.8534031413612565E-2</v>
      </c>
      <c r="H4" s="70">
        <v>54.696333333333328</v>
      </c>
      <c r="I4" s="70">
        <v>4.2955235602094239</v>
      </c>
    </row>
    <row r="5" spans="1:9">
      <c r="A5" s="38" t="s">
        <v>325</v>
      </c>
      <c r="B5">
        <v>1723</v>
      </c>
      <c r="C5">
        <v>3</v>
      </c>
      <c r="D5">
        <v>67</v>
      </c>
      <c r="E5" s="70">
        <v>319.2</v>
      </c>
      <c r="F5" s="1">
        <v>3.8885664538595474E-2</v>
      </c>
      <c r="G5" s="1">
        <v>4.4776119402985072E-2</v>
      </c>
      <c r="H5" s="70">
        <v>106.39999999999999</v>
      </c>
      <c r="I5" s="70">
        <v>4.7641791044776118</v>
      </c>
    </row>
    <row r="6" spans="1:9">
      <c r="A6" s="38" t="s">
        <v>283</v>
      </c>
      <c r="B6">
        <v>821</v>
      </c>
      <c r="C6">
        <v>2</v>
      </c>
      <c r="D6">
        <v>31</v>
      </c>
      <c r="E6" s="70">
        <v>120.85</v>
      </c>
      <c r="F6" s="1">
        <v>3.7758830694275276E-2</v>
      </c>
      <c r="G6" s="1">
        <v>6.4516129032258063E-2</v>
      </c>
      <c r="H6" s="70">
        <v>60.424999999999997</v>
      </c>
      <c r="I6" s="70">
        <v>3.8983870967741932</v>
      </c>
    </row>
    <row r="7" spans="1:9">
      <c r="A7" s="38" t="s">
        <v>221</v>
      </c>
      <c r="B7">
        <v>766</v>
      </c>
      <c r="C7">
        <v>5</v>
      </c>
      <c r="D7">
        <v>34</v>
      </c>
      <c r="E7" s="70">
        <v>151.1</v>
      </c>
      <c r="F7" s="1">
        <v>4.4386422976501305E-2</v>
      </c>
      <c r="G7" s="1">
        <v>0.14705882352941177</v>
      </c>
      <c r="H7" s="70">
        <v>30.22</v>
      </c>
      <c r="I7" s="70">
        <v>4.4441176470588237</v>
      </c>
    </row>
    <row r="8" spans="1:9">
      <c r="A8" s="38" t="s">
        <v>303</v>
      </c>
      <c r="B8">
        <v>683</v>
      </c>
      <c r="C8">
        <v>3</v>
      </c>
      <c r="D8">
        <v>27</v>
      </c>
      <c r="E8" s="70">
        <v>111.52</v>
      </c>
      <c r="F8" s="1">
        <v>3.9531478770131773E-2</v>
      </c>
      <c r="G8" s="1">
        <v>0.1111111111111111</v>
      </c>
      <c r="H8" s="70">
        <v>37.173333333333332</v>
      </c>
      <c r="I8" s="70">
        <v>4.13037037037037</v>
      </c>
    </row>
    <row r="9" spans="1:9">
      <c r="A9" s="38" t="s">
        <v>98</v>
      </c>
      <c r="B9">
        <v>538</v>
      </c>
      <c r="C9">
        <v>0</v>
      </c>
      <c r="D9">
        <v>28</v>
      </c>
      <c r="E9" s="70">
        <v>116.36</v>
      </c>
      <c r="F9" s="1">
        <v>5.204460966542751E-2</v>
      </c>
      <c r="G9" s="1">
        <v>0</v>
      </c>
      <c r="H9" s="70">
        <v>0</v>
      </c>
      <c r="I9" s="70">
        <v>4.1557142857142857</v>
      </c>
    </row>
    <row r="10" spans="1:9">
      <c r="A10" s="38" t="s">
        <v>323</v>
      </c>
      <c r="B10">
        <v>330</v>
      </c>
      <c r="C10">
        <v>0</v>
      </c>
      <c r="D10">
        <v>28</v>
      </c>
      <c r="E10" s="70">
        <v>79.39</v>
      </c>
      <c r="F10" s="1">
        <v>8.4848484848484854E-2</v>
      </c>
      <c r="G10" s="1">
        <v>0</v>
      </c>
      <c r="H10" s="70">
        <v>0</v>
      </c>
      <c r="I10" s="70">
        <v>2.8353571428571427</v>
      </c>
    </row>
    <row r="11" spans="1:9">
      <c r="A11" s="38" t="s">
        <v>224</v>
      </c>
      <c r="B11">
        <v>301</v>
      </c>
      <c r="C11">
        <v>0</v>
      </c>
      <c r="D11">
        <v>14</v>
      </c>
      <c r="E11" s="70">
        <v>46.41</v>
      </c>
      <c r="F11" s="1">
        <v>4.6511627906976744E-2</v>
      </c>
      <c r="G11" s="1">
        <v>0</v>
      </c>
      <c r="H11" s="70">
        <v>0</v>
      </c>
      <c r="I11" s="70">
        <v>3.3149999999999999</v>
      </c>
    </row>
    <row r="12" spans="1:9">
      <c r="A12" s="38" t="s">
        <v>310</v>
      </c>
      <c r="B12">
        <v>263</v>
      </c>
      <c r="C12">
        <v>1</v>
      </c>
      <c r="D12">
        <v>9</v>
      </c>
      <c r="E12" s="70">
        <v>34.89</v>
      </c>
      <c r="F12" s="1">
        <v>3.4220532319391636E-2</v>
      </c>
      <c r="G12" s="1">
        <v>0.1111111111111111</v>
      </c>
      <c r="H12" s="70">
        <v>34.89</v>
      </c>
      <c r="I12" s="70">
        <v>3.8766666666666669</v>
      </c>
    </row>
    <row r="13" spans="1:9">
      <c r="A13" s="38" t="s">
        <v>88</v>
      </c>
      <c r="B13">
        <v>228</v>
      </c>
      <c r="C13">
        <v>0</v>
      </c>
      <c r="D13">
        <v>8</v>
      </c>
      <c r="E13" s="70">
        <v>32.25</v>
      </c>
      <c r="F13" s="1">
        <v>3.5087719298245612E-2</v>
      </c>
      <c r="G13" s="1">
        <v>0</v>
      </c>
      <c r="H13" s="70">
        <v>0</v>
      </c>
      <c r="I13" s="70">
        <v>4.03125</v>
      </c>
    </row>
    <row r="14" spans="1:9">
      <c r="A14" s="38" t="s">
        <v>191</v>
      </c>
      <c r="B14">
        <v>226</v>
      </c>
      <c r="C14">
        <v>8</v>
      </c>
      <c r="D14">
        <v>11</v>
      </c>
      <c r="E14" s="70">
        <v>45.25</v>
      </c>
      <c r="F14" s="1">
        <v>4.8672566371681415E-2</v>
      </c>
      <c r="G14" s="1">
        <v>0.72727272727272729</v>
      </c>
      <c r="H14" s="70">
        <v>5.65625</v>
      </c>
      <c r="I14" s="70">
        <v>4.1136363636363633</v>
      </c>
    </row>
    <row r="15" spans="1:9">
      <c r="A15" s="38" t="s">
        <v>341</v>
      </c>
      <c r="B15">
        <v>215</v>
      </c>
      <c r="C15">
        <v>0</v>
      </c>
      <c r="D15">
        <v>12</v>
      </c>
      <c r="E15" s="70">
        <v>101.48</v>
      </c>
      <c r="F15" s="1">
        <v>5.5813953488372092E-2</v>
      </c>
      <c r="G15" s="1">
        <v>0</v>
      </c>
      <c r="H15" s="70">
        <v>0</v>
      </c>
      <c r="I15" s="70">
        <v>8.456666666666667</v>
      </c>
    </row>
    <row r="16" spans="1:9">
      <c r="A16" s="38" t="s">
        <v>357</v>
      </c>
      <c r="B16">
        <v>210</v>
      </c>
      <c r="C16">
        <v>1</v>
      </c>
      <c r="D16">
        <v>15</v>
      </c>
      <c r="E16" s="70">
        <v>63.88</v>
      </c>
      <c r="F16" s="1">
        <v>7.1428571428571425E-2</v>
      </c>
      <c r="G16" s="1">
        <v>6.6666666666666666E-2</v>
      </c>
      <c r="H16" s="70">
        <v>63.88</v>
      </c>
      <c r="I16" s="70">
        <v>4.2586666666666666</v>
      </c>
    </row>
    <row r="17" spans="1:9">
      <c r="A17" s="38" t="s">
        <v>233</v>
      </c>
      <c r="B17">
        <v>166</v>
      </c>
      <c r="C17">
        <v>1</v>
      </c>
      <c r="D17">
        <v>7</v>
      </c>
      <c r="E17" s="70">
        <v>22.79</v>
      </c>
      <c r="F17" s="1">
        <v>4.2168674698795178E-2</v>
      </c>
      <c r="G17" s="1">
        <v>0.14285714285714285</v>
      </c>
      <c r="H17" s="70">
        <v>22.79</v>
      </c>
      <c r="I17" s="70">
        <v>3.2557142857142858</v>
      </c>
    </row>
    <row r="18" spans="1:9">
      <c r="A18" s="38" t="s">
        <v>277</v>
      </c>
      <c r="B18">
        <v>158</v>
      </c>
      <c r="C18">
        <v>1</v>
      </c>
      <c r="D18">
        <v>8</v>
      </c>
      <c r="E18" s="70">
        <v>30.82</v>
      </c>
      <c r="F18" s="1">
        <v>5.0632911392405063E-2</v>
      </c>
      <c r="G18" s="1">
        <v>0.125</v>
      </c>
      <c r="H18" s="70">
        <v>30.82</v>
      </c>
      <c r="I18" s="70">
        <v>3.8525</v>
      </c>
    </row>
    <row r="19" spans="1:9">
      <c r="A19" s="38" t="s">
        <v>366</v>
      </c>
      <c r="B19">
        <v>154</v>
      </c>
      <c r="C19">
        <v>0</v>
      </c>
      <c r="D19">
        <v>5</v>
      </c>
      <c r="E19" s="70">
        <v>17.45</v>
      </c>
      <c r="F19" s="1">
        <v>3.2467532467532464E-2</v>
      </c>
      <c r="G19" s="1">
        <v>0</v>
      </c>
      <c r="H19" s="70">
        <v>0</v>
      </c>
      <c r="I19" s="70">
        <v>3.4899999999999998</v>
      </c>
    </row>
    <row r="20" spans="1:9">
      <c r="A20" s="38" t="s">
        <v>92</v>
      </c>
      <c r="B20">
        <v>153</v>
      </c>
      <c r="C20">
        <v>1</v>
      </c>
      <c r="D20">
        <v>7</v>
      </c>
      <c r="E20" s="70">
        <v>28.09</v>
      </c>
      <c r="F20" s="1">
        <v>4.5751633986928102E-2</v>
      </c>
      <c r="G20" s="1">
        <v>0.14285714285714285</v>
      </c>
      <c r="H20" s="70">
        <v>28.09</v>
      </c>
      <c r="I20" s="70">
        <v>4.0128571428571425</v>
      </c>
    </row>
    <row r="21" spans="1:9">
      <c r="A21" s="38" t="s">
        <v>152</v>
      </c>
      <c r="B21">
        <v>148</v>
      </c>
      <c r="C21">
        <v>0</v>
      </c>
      <c r="D21">
        <v>5</v>
      </c>
      <c r="E21" s="70">
        <v>36.04</v>
      </c>
      <c r="F21" s="1">
        <v>3.3783783783783786E-2</v>
      </c>
      <c r="G21" s="1">
        <v>0</v>
      </c>
      <c r="H21" s="70">
        <v>0</v>
      </c>
      <c r="I21" s="70">
        <v>7.2080000000000002</v>
      </c>
    </row>
    <row r="22" spans="1:9">
      <c r="A22" s="38" t="s">
        <v>200</v>
      </c>
      <c r="B22">
        <v>113</v>
      </c>
      <c r="C22">
        <v>0</v>
      </c>
      <c r="D22">
        <v>8</v>
      </c>
      <c r="E22" s="70">
        <v>40.119999999999997</v>
      </c>
      <c r="F22" s="1">
        <v>7.0796460176991149E-2</v>
      </c>
      <c r="G22" s="1">
        <v>0</v>
      </c>
      <c r="H22" s="70">
        <v>0</v>
      </c>
      <c r="I22" s="70">
        <v>5.0149999999999997</v>
      </c>
    </row>
    <row r="23" spans="1:9">
      <c r="A23" s="38" t="s">
        <v>244</v>
      </c>
      <c r="B23">
        <v>110</v>
      </c>
      <c r="C23">
        <v>0</v>
      </c>
      <c r="D23">
        <v>3</v>
      </c>
      <c r="E23" s="70">
        <v>10.8</v>
      </c>
      <c r="F23" s="1">
        <v>2.7272727272727271E-2</v>
      </c>
      <c r="G23" s="1">
        <v>0</v>
      </c>
      <c r="H23" s="70">
        <v>0</v>
      </c>
      <c r="I23" s="70">
        <v>3.6</v>
      </c>
    </row>
    <row r="24" spans="1:9">
      <c r="A24" s="38" t="s">
        <v>343</v>
      </c>
      <c r="B24">
        <v>90</v>
      </c>
      <c r="C24">
        <v>1</v>
      </c>
      <c r="D24">
        <v>5</v>
      </c>
      <c r="E24" s="70">
        <v>18.07</v>
      </c>
      <c r="F24" s="1">
        <v>5.5555555555555552E-2</v>
      </c>
      <c r="G24" s="1">
        <v>0.2</v>
      </c>
      <c r="H24" s="70">
        <v>18.07</v>
      </c>
      <c r="I24" s="70">
        <v>3.6139999999999999</v>
      </c>
    </row>
    <row r="25" spans="1:9">
      <c r="A25" s="38" t="s">
        <v>264</v>
      </c>
      <c r="B25">
        <v>89</v>
      </c>
      <c r="C25">
        <v>0</v>
      </c>
      <c r="D25">
        <v>2</v>
      </c>
      <c r="E25" s="70">
        <v>6.89</v>
      </c>
      <c r="F25" s="1">
        <v>2.247191011235955E-2</v>
      </c>
      <c r="G25" s="1">
        <v>0</v>
      </c>
      <c r="H25" s="70">
        <v>0</v>
      </c>
      <c r="I25" s="70">
        <v>3.4449999999999998</v>
      </c>
    </row>
    <row r="26" spans="1:9">
      <c r="A26" s="38" t="s">
        <v>316</v>
      </c>
      <c r="B26">
        <v>81</v>
      </c>
      <c r="C26">
        <v>0</v>
      </c>
      <c r="D26">
        <v>2</v>
      </c>
      <c r="E26" s="70">
        <v>9.06</v>
      </c>
      <c r="F26" s="1">
        <v>2.4691358024691357E-2</v>
      </c>
      <c r="G26" s="1">
        <v>0</v>
      </c>
      <c r="H26" s="70">
        <v>0</v>
      </c>
      <c r="I26" s="70">
        <v>4.53</v>
      </c>
    </row>
    <row r="27" spans="1:9">
      <c r="A27" s="38" t="s">
        <v>177</v>
      </c>
      <c r="B27">
        <v>79</v>
      </c>
      <c r="C27">
        <v>0</v>
      </c>
      <c r="D27">
        <v>0</v>
      </c>
      <c r="E27" s="70">
        <v>0</v>
      </c>
      <c r="F27" s="1">
        <v>0</v>
      </c>
      <c r="G27" s="1">
        <v>0</v>
      </c>
      <c r="H27" s="70">
        <v>0</v>
      </c>
      <c r="I27" s="70">
        <v>0</v>
      </c>
    </row>
    <row r="28" spans="1:9">
      <c r="A28" s="38" t="s">
        <v>243</v>
      </c>
      <c r="B28">
        <v>72</v>
      </c>
      <c r="C28">
        <v>0</v>
      </c>
      <c r="D28">
        <v>0</v>
      </c>
      <c r="E28" s="70">
        <v>0</v>
      </c>
      <c r="F28" s="1">
        <v>0</v>
      </c>
      <c r="G28" s="1">
        <v>0</v>
      </c>
      <c r="H28" s="70">
        <v>0</v>
      </c>
      <c r="I28" s="70">
        <v>0</v>
      </c>
    </row>
    <row r="29" spans="1:9">
      <c r="A29" s="38" t="s">
        <v>241</v>
      </c>
      <c r="B29">
        <v>69</v>
      </c>
      <c r="C29">
        <v>0</v>
      </c>
      <c r="D29">
        <v>3</v>
      </c>
      <c r="E29" s="70">
        <v>16.09</v>
      </c>
      <c r="F29" s="1">
        <v>4.3478260869565216E-2</v>
      </c>
      <c r="G29" s="1">
        <v>0</v>
      </c>
      <c r="H29" s="70">
        <v>0</v>
      </c>
      <c r="I29" s="70">
        <v>5.3633333333333333</v>
      </c>
    </row>
    <row r="30" spans="1:9">
      <c r="A30" s="38" t="s">
        <v>157</v>
      </c>
      <c r="B30">
        <v>64</v>
      </c>
      <c r="C30">
        <v>0</v>
      </c>
      <c r="D30">
        <v>0</v>
      </c>
      <c r="E30" s="70">
        <v>0</v>
      </c>
      <c r="F30" s="1">
        <v>0</v>
      </c>
      <c r="G30" s="1">
        <v>0</v>
      </c>
      <c r="H30" s="70">
        <v>0</v>
      </c>
      <c r="I30" s="70">
        <v>0</v>
      </c>
    </row>
    <row r="31" spans="1:9">
      <c r="A31" s="38" t="s">
        <v>203</v>
      </c>
      <c r="B31">
        <v>63</v>
      </c>
      <c r="C31">
        <v>0</v>
      </c>
      <c r="D31">
        <v>3</v>
      </c>
      <c r="E31" s="70">
        <v>14.92</v>
      </c>
      <c r="F31" s="1">
        <v>4.7619047619047616E-2</v>
      </c>
      <c r="G31" s="1">
        <v>0</v>
      </c>
      <c r="H31" s="70">
        <v>0</v>
      </c>
      <c r="I31" s="70">
        <v>4.9733333333333336</v>
      </c>
    </row>
    <row r="32" spans="1:9">
      <c r="A32" s="38" t="s">
        <v>238</v>
      </c>
      <c r="B32">
        <v>62</v>
      </c>
      <c r="C32">
        <v>0</v>
      </c>
      <c r="D32">
        <v>2</v>
      </c>
      <c r="E32" s="70">
        <v>7.21</v>
      </c>
      <c r="F32" s="1">
        <v>3.2258064516129031E-2</v>
      </c>
      <c r="G32" s="1">
        <v>0</v>
      </c>
      <c r="H32" s="70">
        <v>0</v>
      </c>
      <c r="I32" s="70">
        <v>3.605</v>
      </c>
    </row>
    <row r="33" spans="1:9">
      <c r="A33" s="38" t="s">
        <v>304</v>
      </c>
      <c r="B33">
        <v>59</v>
      </c>
      <c r="C33">
        <v>0</v>
      </c>
      <c r="D33">
        <v>1</v>
      </c>
      <c r="E33" s="70">
        <v>6.08</v>
      </c>
      <c r="F33" s="1">
        <v>1.6949152542372881E-2</v>
      </c>
      <c r="G33" s="1">
        <v>0</v>
      </c>
      <c r="H33" s="70">
        <v>0</v>
      </c>
      <c r="I33" s="70">
        <v>6.08</v>
      </c>
    </row>
    <row r="34" spans="1:9">
      <c r="A34" s="38" t="s">
        <v>368</v>
      </c>
      <c r="B34">
        <v>56</v>
      </c>
      <c r="C34">
        <v>0</v>
      </c>
      <c r="D34">
        <v>3</v>
      </c>
      <c r="E34" s="70">
        <v>11.89</v>
      </c>
      <c r="F34" s="1">
        <v>5.3571428571428568E-2</v>
      </c>
      <c r="G34" s="1">
        <v>0</v>
      </c>
      <c r="H34" s="70">
        <v>0</v>
      </c>
      <c r="I34" s="70">
        <v>3.9633333333333334</v>
      </c>
    </row>
    <row r="35" spans="1:9">
      <c r="A35" s="38" t="s">
        <v>320</v>
      </c>
      <c r="B35">
        <v>56</v>
      </c>
      <c r="C35">
        <v>0</v>
      </c>
      <c r="D35">
        <v>4</v>
      </c>
      <c r="E35" s="70">
        <v>14.7</v>
      </c>
      <c r="F35" s="1">
        <v>7.1428571428571425E-2</v>
      </c>
      <c r="G35" s="1">
        <v>0</v>
      </c>
      <c r="H35" s="70">
        <v>0</v>
      </c>
      <c r="I35" s="70">
        <v>3.6749999999999998</v>
      </c>
    </row>
    <row r="36" spans="1:9">
      <c r="A36" s="38" t="s">
        <v>189</v>
      </c>
      <c r="B36">
        <v>51</v>
      </c>
      <c r="C36">
        <v>0</v>
      </c>
      <c r="D36">
        <v>0</v>
      </c>
      <c r="E36" s="70">
        <v>0</v>
      </c>
      <c r="F36" s="1">
        <v>0</v>
      </c>
      <c r="G36" s="1">
        <v>0</v>
      </c>
      <c r="H36" s="70">
        <v>0</v>
      </c>
      <c r="I36" s="70">
        <v>0</v>
      </c>
    </row>
    <row r="37" spans="1:9">
      <c r="A37" s="38" t="s">
        <v>269</v>
      </c>
      <c r="B37">
        <v>50</v>
      </c>
      <c r="C37">
        <v>0</v>
      </c>
      <c r="D37">
        <v>6</v>
      </c>
      <c r="E37" s="70">
        <v>19.68</v>
      </c>
      <c r="F37" s="1">
        <v>0.12</v>
      </c>
      <c r="G37" s="1">
        <v>0</v>
      </c>
      <c r="H37" s="70">
        <v>0</v>
      </c>
      <c r="I37" s="70">
        <v>3.28</v>
      </c>
    </row>
    <row r="38" spans="1:9">
      <c r="A38" s="38" t="s">
        <v>164</v>
      </c>
      <c r="B38">
        <v>49</v>
      </c>
      <c r="C38">
        <v>0</v>
      </c>
      <c r="D38">
        <v>0</v>
      </c>
      <c r="E38" s="70">
        <v>0</v>
      </c>
      <c r="F38" s="1">
        <v>0</v>
      </c>
      <c r="G38" s="1">
        <v>0</v>
      </c>
      <c r="H38" s="70">
        <v>0</v>
      </c>
      <c r="I38" s="70">
        <v>0</v>
      </c>
    </row>
    <row r="39" spans="1:9">
      <c r="A39" s="38" t="s">
        <v>252</v>
      </c>
      <c r="B39">
        <v>47</v>
      </c>
      <c r="C39">
        <v>0</v>
      </c>
      <c r="D39">
        <v>2</v>
      </c>
      <c r="E39" s="70">
        <v>8.17</v>
      </c>
      <c r="F39" s="1">
        <v>4.2553191489361701E-2</v>
      </c>
      <c r="G39" s="1">
        <v>0</v>
      </c>
      <c r="H39" s="70">
        <v>0</v>
      </c>
      <c r="I39" s="70">
        <v>4.085</v>
      </c>
    </row>
    <row r="40" spans="1:9">
      <c r="A40" s="38" t="s">
        <v>363</v>
      </c>
      <c r="B40">
        <v>46</v>
      </c>
      <c r="C40">
        <v>0</v>
      </c>
      <c r="D40">
        <v>2</v>
      </c>
      <c r="E40" s="70">
        <v>9.65</v>
      </c>
      <c r="F40" s="1">
        <v>4.3478260869565216E-2</v>
      </c>
      <c r="G40" s="1">
        <v>0</v>
      </c>
      <c r="H40" s="70">
        <v>0</v>
      </c>
      <c r="I40" s="70">
        <v>4.8250000000000002</v>
      </c>
    </row>
    <row r="41" spans="1:9">
      <c r="A41" s="38" t="s">
        <v>101</v>
      </c>
      <c r="B41">
        <v>43</v>
      </c>
      <c r="C41">
        <v>0</v>
      </c>
      <c r="D41">
        <v>1</v>
      </c>
      <c r="E41" s="70">
        <v>5.57</v>
      </c>
      <c r="F41" s="1">
        <v>2.3255813953488372E-2</v>
      </c>
      <c r="G41" s="1">
        <v>0</v>
      </c>
      <c r="H41" s="70">
        <v>0</v>
      </c>
      <c r="I41" s="70">
        <v>5.57</v>
      </c>
    </row>
    <row r="42" spans="1:9">
      <c r="A42" s="38" t="s">
        <v>116</v>
      </c>
      <c r="B42">
        <v>43</v>
      </c>
      <c r="C42">
        <v>0</v>
      </c>
      <c r="D42">
        <v>2</v>
      </c>
      <c r="E42" s="70">
        <v>7.72</v>
      </c>
      <c r="F42" s="1">
        <v>4.6511627906976744E-2</v>
      </c>
      <c r="G42" s="1">
        <v>0</v>
      </c>
      <c r="H42" s="70">
        <v>0</v>
      </c>
      <c r="I42" s="70">
        <v>3.86</v>
      </c>
    </row>
    <row r="43" spans="1:9">
      <c r="A43" s="38" t="s">
        <v>289</v>
      </c>
      <c r="B43">
        <v>41</v>
      </c>
      <c r="C43">
        <v>0</v>
      </c>
      <c r="D43">
        <v>0</v>
      </c>
      <c r="E43" s="70">
        <v>0</v>
      </c>
      <c r="F43" s="1">
        <v>0</v>
      </c>
      <c r="G43" s="1">
        <v>0</v>
      </c>
      <c r="H43" s="70">
        <v>0</v>
      </c>
      <c r="I43" s="70">
        <v>0</v>
      </c>
    </row>
    <row r="44" spans="1:9">
      <c r="A44" s="38" t="s">
        <v>334</v>
      </c>
      <c r="B44">
        <v>40</v>
      </c>
      <c r="C44">
        <v>0</v>
      </c>
      <c r="D44">
        <v>1</v>
      </c>
      <c r="E44" s="70">
        <v>2.8</v>
      </c>
      <c r="F44" s="1">
        <v>2.5000000000000001E-2</v>
      </c>
      <c r="G44" s="1">
        <v>0</v>
      </c>
      <c r="H44" s="70">
        <v>0</v>
      </c>
      <c r="I44" s="70">
        <v>2.8</v>
      </c>
    </row>
    <row r="45" spans="1:9">
      <c r="A45" s="38" t="s">
        <v>294</v>
      </c>
      <c r="B45">
        <v>40</v>
      </c>
      <c r="C45">
        <v>1</v>
      </c>
      <c r="D45">
        <v>2</v>
      </c>
      <c r="E45" s="70">
        <v>4.9400000000000004</v>
      </c>
      <c r="F45" s="1">
        <v>0.05</v>
      </c>
      <c r="G45" s="1">
        <v>0.5</v>
      </c>
      <c r="H45" s="70">
        <v>4.9400000000000004</v>
      </c>
      <c r="I45" s="70">
        <v>2.4700000000000002</v>
      </c>
    </row>
    <row r="46" spans="1:9">
      <c r="A46" s="38" t="s">
        <v>332</v>
      </c>
      <c r="B46">
        <v>39</v>
      </c>
      <c r="C46">
        <v>0</v>
      </c>
      <c r="D46">
        <v>1</v>
      </c>
      <c r="E46" s="70">
        <v>3.68</v>
      </c>
      <c r="F46" s="1">
        <v>2.564102564102564E-2</v>
      </c>
      <c r="G46" s="1">
        <v>0</v>
      </c>
      <c r="H46" s="70">
        <v>0</v>
      </c>
      <c r="I46" s="70">
        <v>3.68</v>
      </c>
    </row>
    <row r="47" spans="1:9">
      <c r="A47" s="38" t="s">
        <v>187</v>
      </c>
      <c r="B47">
        <v>36</v>
      </c>
      <c r="C47">
        <v>0</v>
      </c>
      <c r="D47">
        <v>0</v>
      </c>
      <c r="E47" s="70">
        <v>0</v>
      </c>
      <c r="F47" s="1">
        <v>0</v>
      </c>
      <c r="G47" s="1">
        <v>0</v>
      </c>
      <c r="H47" s="70">
        <v>0</v>
      </c>
      <c r="I47" s="70">
        <v>0</v>
      </c>
    </row>
    <row r="48" spans="1:9">
      <c r="A48" s="38" t="s">
        <v>301</v>
      </c>
      <c r="B48">
        <v>35</v>
      </c>
      <c r="C48">
        <v>0</v>
      </c>
      <c r="D48">
        <v>1</v>
      </c>
      <c r="E48" s="70">
        <v>7.45</v>
      </c>
      <c r="F48" s="1">
        <v>2.8571428571428571E-2</v>
      </c>
      <c r="G48" s="1">
        <v>0</v>
      </c>
      <c r="H48" s="70">
        <v>0</v>
      </c>
      <c r="I48" s="70">
        <v>7.45</v>
      </c>
    </row>
    <row r="49" spans="1:9">
      <c r="A49" s="38" t="s">
        <v>306</v>
      </c>
      <c r="B49">
        <v>35</v>
      </c>
      <c r="C49">
        <v>0</v>
      </c>
      <c r="D49">
        <v>1</v>
      </c>
      <c r="E49" s="70">
        <v>3.55</v>
      </c>
      <c r="F49" s="1">
        <v>2.8571428571428571E-2</v>
      </c>
      <c r="G49" s="1">
        <v>0</v>
      </c>
      <c r="H49" s="70">
        <v>0</v>
      </c>
      <c r="I49" s="70">
        <v>3.55</v>
      </c>
    </row>
    <row r="50" spans="1:9">
      <c r="A50" s="38" t="s">
        <v>333</v>
      </c>
      <c r="B50">
        <v>33</v>
      </c>
      <c r="C50">
        <v>0</v>
      </c>
      <c r="D50">
        <v>1</v>
      </c>
      <c r="E50" s="70">
        <v>2.4</v>
      </c>
      <c r="F50" s="1">
        <v>3.0303030303030304E-2</v>
      </c>
      <c r="G50" s="1">
        <v>0</v>
      </c>
      <c r="H50" s="70">
        <v>0</v>
      </c>
      <c r="I50" s="70">
        <v>2.4</v>
      </c>
    </row>
    <row r="51" spans="1:9">
      <c r="A51" s="38" t="s">
        <v>140</v>
      </c>
      <c r="B51">
        <v>27</v>
      </c>
      <c r="C51">
        <v>0</v>
      </c>
      <c r="D51">
        <v>2</v>
      </c>
      <c r="E51" s="70">
        <v>5.3</v>
      </c>
      <c r="F51" s="1">
        <v>7.407407407407407E-2</v>
      </c>
      <c r="G51" s="1">
        <v>0</v>
      </c>
      <c r="H51" s="70">
        <v>0</v>
      </c>
      <c r="I51" s="70">
        <v>2.65</v>
      </c>
    </row>
    <row r="52" spans="1:9">
      <c r="A52" s="38" t="s">
        <v>225</v>
      </c>
      <c r="B52">
        <v>23</v>
      </c>
      <c r="C52">
        <v>0</v>
      </c>
      <c r="D52">
        <v>2</v>
      </c>
      <c r="E52" s="70">
        <v>8.32</v>
      </c>
      <c r="F52" s="1">
        <v>8.6956521739130432E-2</v>
      </c>
      <c r="G52" s="1">
        <v>0</v>
      </c>
      <c r="H52" s="70">
        <v>0</v>
      </c>
      <c r="I52" s="70">
        <v>4.16</v>
      </c>
    </row>
    <row r="53" spans="1:9">
      <c r="A53" s="38" t="s">
        <v>255</v>
      </c>
      <c r="B53">
        <v>23</v>
      </c>
      <c r="C53">
        <v>0</v>
      </c>
      <c r="D53">
        <v>1</v>
      </c>
      <c r="E53" s="70">
        <v>5.31</v>
      </c>
      <c r="F53" s="1">
        <v>4.3478260869565216E-2</v>
      </c>
      <c r="G53" s="1">
        <v>0</v>
      </c>
      <c r="H53" s="70">
        <v>0</v>
      </c>
      <c r="I53" s="70">
        <v>5.31</v>
      </c>
    </row>
    <row r="54" spans="1:9">
      <c r="A54" s="38" t="s">
        <v>262</v>
      </c>
      <c r="B54">
        <v>20</v>
      </c>
      <c r="C54">
        <v>0</v>
      </c>
      <c r="D54">
        <v>0</v>
      </c>
      <c r="E54" s="70">
        <v>0</v>
      </c>
      <c r="F54" s="1">
        <v>0</v>
      </c>
      <c r="G54" s="1">
        <v>0</v>
      </c>
      <c r="H54" s="70">
        <v>0</v>
      </c>
      <c r="I54" s="70">
        <v>0</v>
      </c>
    </row>
    <row r="55" spans="1:9">
      <c r="A55" s="38" t="s">
        <v>344</v>
      </c>
      <c r="B55">
        <v>20</v>
      </c>
      <c r="C55">
        <v>0</v>
      </c>
      <c r="D55">
        <v>3</v>
      </c>
      <c r="E55" s="70">
        <v>13.56</v>
      </c>
      <c r="F55" s="1">
        <v>0.15</v>
      </c>
      <c r="G55" s="1">
        <v>0</v>
      </c>
      <c r="H55" s="70">
        <v>0</v>
      </c>
      <c r="I55" s="70">
        <v>4.5200000000000005</v>
      </c>
    </row>
    <row r="56" spans="1:9">
      <c r="A56" s="38" t="s">
        <v>215</v>
      </c>
      <c r="B56">
        <v>19</v>
      </c>
      <c r="C56">
        <v>0</v>
      </c>
      <c r="D56">
        <v>1</v>
      </c>
      <c r="E56" s="70">
        <v>6.66</v>
      </c>
      <c r="F56" s="1">
        <v>5.2631578947368418E-2</v>
      </c>
      <c r="G56" s="1">
        <v>0</v>
      </c>
      <c r="H56" s="70">
        <v>0</v>
      </c>
      <c r="I56" s="70">
        <v>6.66</v>
      </c>
    </row>
    <row r="57" spans="1:9">
      <c r="A57" s="38" t="s">
        <v>202</v>
      </c>
      <c r="B57">
        <v>17</v>
      </c>
      <c r="C57">
        <v>0</v>
      </c>
      <c r="D57">
        <v>0</v>
      </c>
      <c r="E57" s="70">
        <v>0</v>
      </c>
      <c r="F57" s="1">
        <v>0</v>
      </c>
      <c r="G57" s="1">
        <v>0</v>
      </c>
      <c r="H57" s="70">
        <v>0</v>
      </c>
      <c r="I57" s="70">
        <v>0</v>
      </c>
    </row>
    <row r="58" spans="1:9">
      <c r="A58" s="38" t="s">
        <v>328</v>
      </c>
      <c r="B58">
        <v>16</v>
      </c>
      <c r="C58">
        <v>2</v>
      </c>
      <c r="D58">
        <v>1</v>
      </c>
      <c r="E58" s="70">
        <v>12.53</v>
      </c>
      <c r="F58" s="1">
        <v>6.25E-2</v>
      </c>
      <c r="G58" s="1">
        <v>2</v>
      </c>
      <c r="H58" s="70">
        <v>6.2649999999999997</v>
      </c>
      <c r="I58" s="70">
        <v>12.53</v>
      </c>
    </row>
    <row r="59" spans="1:9">
      <c r="A59" s="38" t="s">
        <v>96</v>
      </c>
      <c r="B59">
        <v>14</v>
      </c>
      <c r="C59">
        <v>0</v>
      </c>
      <c r="D59">
        <v>0</v>
      </c>
      <c r="E59" s="70">
        <v>0</v>
      </c>
      <c r="F59" s="1">
        <v>0</v>
      </c>
      <c r="G59" s="1">
        <v>0</v>
      </c>
      <c r="H59" s="70">
        <v>0</v>
      </c>
      <c r="I59" s="70">
        <v>0</v>
      </c>
    </row>
    <row r="60" spans="1:9">
      <c r="A60" s="38" t="s">
        <v>148</v>
      </c>
      <c r="B60">
        <v>14</v>
      </c>
      <c r="C60">
        <v>0</v>
      </c>
      <c r="D60">
        <v>0</v>
      </c>
      <c r="E60" s="70">
        <v>0</v>
      </c>
      <c r="F60" s="1">
        <v>0</v>
      </c>
      <c r="G60" s="1">
        <v>0</v>
      </c>
      <c r="H60" s="70">
        <v>0</v>
      </c>
      <c r="I60" s="70">
        <v>0</v>
      </c>
    </row>
    <row r="61" spans="1:9">
      <c r="A61" s="38" t="s">
        <v>150</v>
      </c>
      <c r="B61">
        <v>14</v>
      </c>
      <c r="C61">
        <v>0</v>
      </c>
      <c r="D61">
        <v>0</v>
      </c>
      <c r="E61" s="70">
        <v>0</v>
      </c>
      <c r="F61" s="1">
        <v>0</v>
      </c>
      <c r="G61" s="1">
        <v>0</v>
      </c>
      <c r="H61" s="70">
        <v>0</v>
      </c>
      <c r="I61" s="70">
        <v>0</v>
      </c>
    </row>
    <row r="62" spans="1:9">
      <c r="A62" s="38" t="s">
        <v>258</v>
      </c>
      <c r="B62">
        <v>12</v>
      </c>
      <c r="C62">
        <v>0</v>
      </c>
      <c r="D62">
        <v>0</v>
      </c>
      <c r="E62" s="70">
        <v>0</v>
      </c>
      <c r="F62" s="1">
        <v>0</v>
      </c>
      <c r="G62" s="1">
        <v>0</v>
      </c>
      <c r="H62" s="70">
        <v>0</v>
      </c>
      <c r="I62" s="70">
        <v>0</v>
      </c>
    </row>
    <row r="63" spans="1:9">
      <c r="A63" s="38" t="s">
        <v>127</v>
      </c>
      <c r="B63">
        <v>12</v>
      </c>
      <c r="C63">
        <v>0</v>
      </c>
      <c r="D63">
        <v>0</v>
      </c>
      <c r="E63" s="70">
        <v>0</v>
      </c>
      <c r="F63" s="1">
        <v>0</v>
      </c>
      <c r="G63" s="1">
        <v>0</v>
      </c>
      <c r="H63" s="70">
        <v>0</v>
      </c>
      <c r="I63" s="70">
        <v>0</v>
      </c>
    </row>
    <row r="64" spans="1:9">
      <c r="A64" s="38" t="s">
        <v>227</v>
      </c>
      <c r="B64">
        <v>11</v>
      </c>
      <c r="C64">
        <v>0</v>
      </c>
      <c r="D64">
        <v>0</v>
      </c>
      <c r="E64" s="70">
        <v>0</v>
      </c>
      <c r="F64" s="1">
        <v>0</v>
      </c>
      <c r="G64" s="1">
        <v>0</v>
      </c>
      <c r="H64" s="70">
        <v>0</v>
      </c>
      <c r="I64" s="70">
        <v>0</v>
      </c>
    </row>
    <row r="65" spans="1:9">
      <c r="A65" s="8" t="s">
        <v>63</v>
      </c>
      <c r="B65">
        <v>1413</v>
      </c>
      <c r="C65">
        <v>6</v>
      </c>
      <c r="D65">
        <v>98</v>
      </c>
      <c r="E65" s="70">
        <v>280.55</v>
      </c>
      <c r="F65" s="1">
        <v>6.9355980184005656E-2</v>
      </c>
      <c r="G65" s="1">
        <v>6.1224489795918366E-2</v>
      </c>
      <c r="H65" s="70">
        <v>46.758333333333333</v>
      </c>
      <c r="I65" s="70">
        <v>2.8627551020408166</v>
      </c>
    </row>
    <row r="66" spans="1:9">
      <c r="A66" s="38" t="s">
        <v>323</v>
      </c>
      <c r="B66">
        <v>366</v>
      </c>
      <c r="C66">
        <v>3</v>
      </c>
      <c r="D66">
        <v>30</v>
      </c>
      <c r="E66" s="70">
        <v>63.75</v>
      </c>
      <c r="F66" s="1">
        <v>8.1967213114754092E-2</v>
      </c>
      <c r="G66" s="1">
        <v>0.1</v>
      </c>
      <c r="H66" s="70">
        <v>21.25</v>
      </c>
      <c r="I66" s="70">
        <v>2.125</v>
      </c>
    </row>
    <row r="67" spans="1:9">
      <c r="A67" s="38" t="s">
        <v>357</v>
      </c>
      <c r="B67">
        <v>176</v>
      </c>
      <c r="C67">
        <v>0</v>
      </c>
      <c r="D67">
        <v>12</v>
      </c>
      <c r="E67" s="70">
        <v>45.52</v>
      </c>
      <c r="F67" s="1">
        <v>6.8181818181818177E-2</v>
      </c>
      <c r="G67" s="1">
        <v>0</v>
      </c>
      <c r="H67" s="70">
        <v>0</v>
      </c>
      <c r="I67" s="70">
        <v>3.7933333333333334</v>
      </c>
    </row>
    <row r="68" spans="1:9">
      <c r="A68" s="38" t="s">
        <v>221</v>
      </c>
      <c r="B68">
        <v>155</v>
      </c>
      <c r="C68">
        <v>1</v>
      </c>
      <c r="D68">
        <v>14</v>
      </c>
      <c r="E68" s="70">
        <v>40.36</v>
      </c>
      <c r="F68" s="1">
        <v>9.0322580645161285E-2</v>
      </c>
      <c r="G68" s="1">
        <v>7.1428571428571425E-2</v>
      </c>
      <c r="H68" s="70">
        <v>40.36</v>
      </c>
      <c r="I68" s="70">
        <v>2.882857142857143</v>
      </c>
    </row>
    <row r="69" spans="1:9">
      <c r="A69" s="38" t="s">
        <v>325</v>
      </c>
      <c r="B69">
        <v>149</v>
      </c>
      <c r="C69">
        <v>0</v>
      </c>
      <c r="D69">
        <v>10</v>
      </c>
      <c r="E69" s="70">
        <v>30.62</v>
      </c>
      <c r="F69" s="1">
        <v>6.7114093959731544E-2</v>
      </c>
      <c r="G69" s="1">
        <v>0</v>
      </c>
      <c r="H69" s="70">
        <v>0</v>
      </c>
      <c r="I69" s="70">
        <v>3.0620000000000003</v>
      </c>
    </row>
    <row r="70" spans="1:9">
      <c r="A70" s="38" t="s">
        <v>238</v>
      </c>
      <c r="B70">
        <v>118</v>
      </c>
      <c r="C70">
        <v>1</v>
      </c>
      <c r="D70">
        <v>7</v>
      </c>
      <c r="E70" s="70">
        <v>26.05</v>
      </c>
      <c r="F70" s="1">
        <v>5.9322033898305086E-2</v>
      </c>
      <c r="G70" s="1">
        <v>0.14285714285714285</v>
      </c>
      <c r="H70" s="70">
        <v>26.05</v>
      </c>
      <c r="I70" s="70">
        <v>3.7214285714285715</v>
      </c>
    </row>
    <row r="71" spans="1:9">
      <c r="A71" s="38" t="s">
        <v>283</v>
      </c>
      <c r="B71">
        <v>116</v>
      </c>
      <c r="C71">
        <v>1</v>
      </c>
      <c r="D71">
        <v>4</v>
      </c>
      <c r="E71" s="70">
        <v>12.5</v>
      </c>
      <c r="F71" s="1">
        <v>3.4482758620689655E-2</v>
      </c>
      <c r="G71" s="1">
        <v>0.25</v>
      </c>
      <c r="H71" s="70">
        <v>12.5</v>
      </c>
      <c r="I71" s="70">
        <v>3.125</v>
      </c>
    </row>
    <row r="72" spans="1:9">
      <c r="A72" s="38" t="s">
        <v>310</v>
      </c>
      <c r="B72">
        <v>104</v>
      </c>
      <c r="C72">
        <v>0</v>
      </c>
      <c r="D72">
        <v>5</v>
      </c>
      <c r="E72" s="70">
        <v>13.84</v>
      </c>
      <c r="F72" s="1">
        <v>4.807692307692308E-2</v>
      </c>
      <c r="G72" s="1">
        <v>0</v>
      </c>
      <c r="H72" s="70">
        <v>0</v>
      </c>
      <c r="I72" s="70">
        <v>2.7679999999999998</v>
      </c>
    </row>
    <row r="73" spans="1:9">
      <c r="A73" s="38" t="s">
        <v>303</v>
      </c>
      <c r="B73">
        <v>97</v>
      </c>
      <c r="C73">
        <v>0</v>
      </c>
      <c r="D73">
        <v>7</v>
      </c>
      <c r="E73" s="70">
        <v>24.43</v>
      </c>
      <c r="F73" s="1">
        <v>7.2164948453608241E-2</v>
      </c>
      <c r="G73" s="1">
        <v>0</v>
      </c>
      <c r="H73" s="70">
        <v>0</v>
      </c>
      <c r="I73" s="70">
        <v>3.4899999999999998</v>
      </c>
    </row>
    <row r="74" spans="1:9">
      <c r="A74" s="38" t="s">
        <v>233</v>
      </c>
      <c r="B74">
        <v>44</v>
      </c>
      <c r="C74">
        <v>0</v>
      </c>
      <c r="D74">
        <v>2</v>
      </c>
      <c r="E74" s="70">
        <v>9.2200000000000006</v>
      </c>
      <c r="F74" s="1">
        <v>4.5454545454545456E-2</v>
      </c>
      <c r="G74" s="1">
        <v>0</v>
      </c>
      <c r="H74" s="70">
        <v>0</v>
      </c>
      <c r="I74" s="70">
        <v>4.6100000000000003</v>
      </c>
    </row>
    <row r="75" spans="1:9">
      <c r="A75" s="38" t="s">
        <v>294</v>
      </c>
      <c r="B75">
        <v>35</v>
      </c>
      <c r="C75">
        <v>0</v>
      </c>
      <c r="D75">
        <v>5</v>
      </c>
      <c r="E75" s="70">
        <v>9.56</v>
      </c>
      <c r="F75" s="1">
        <v>0.14285714285714285</v>
      </c>
      <c r="G75" s="1">
        <v>0</v>
      </c>
      <c r="H75" s="70">
        <v>0</v>
      </c>
      <c r="I75" s="70">
        <v>1.9120000000000001</v>
      </c>
    </row>
    <row r="76" spans="1:9">
      <c r="A76" s="38" t="s">
        <v>363</v>
      </c>
      <c r="B76">
        <v>23</v>
      </c>
      <c r="C76">
        <v>0</v>
      </c>
      <c r="D76">
        <v>0</v>
      </c>
      <c r="E76" s="70">
        <v>0</v>
      </c>
      <c r="F76" s="1">
        <v>0</v>
      </c>
      <c r="G76" s="1">
        <v>0</v>
      </c>
      <c r="H76" s="70">
        <v>0</v>
      </c>
      <c r="I76" s="70">
        <v>0</v>
      </c>
    </row>
    <row r="77" spans="1:9">
      <c r="A77" s="38" t="s">
        <v>187</v>
      </c>
      <c r="B77">
        <v>18</v>
      </c>
      <c r="C77">
        <v>0</v>
      </c>
      <c r="D77">
        <v>1</v>
      </c>
      <c r="E77" s="70">
        <v>1.18</v>
      </c>
      <c r="F77" s="1">
        <v>5.5555555555555552E-2</v>
      </c>
      <c r="G77" s="1">
        <v>0</v>
      </c>
      <c r="H77" s="70">
        <v>0</v>
      </c>
      <c r="I77" s="70">
        <v>1.18</v>
      </c>
    </row>
    <row r="78" spans="1:9">
      <c r="A78" s="38" t="s">
        <v>191</v>
      </c>
      <c r="B78">
        <v>12</v>
      </c>
      <c r="C78">
        <v>0</v>
      </c>
      <c r="D78">
        <v>1</v>
      </c>
      <c r="E78" s="70">
        <v>3.52</v>
      </c>
      <c r="F78" s="1">
        <v>8.3333333333333329E-2</v>
      </c>
      <c r="G78" s="1">
        <v>0</v>
      </c>
      <c r="H78" s="70">
        <v>0</v>
      </c>
      <c r="I78" s="70">
        <v>3.52</v>
      </c>
    </row>
    <row r="79" spans="1:9">
      <c r="A79" s="8" t="s">
        <v>24</v>
      </c>
      <c r="B79">
        <v>20120</v>
      </c>
      <c r="C79">
        <v>36</v>
      </c>
      <c r="D79">
        <v>467</v>
      </c>
      <c r="E79" s="70">
        <v>1203.3500000000001</v>
      </c>
      <c r="F79" s="1">
        <v>2.3210735586481113E-2</v>
      </c>
      <c r="G79" s="1">
        <v>7.7087794432548179E-2</v>
      </c>
      <c r="H79" s="70">
        <v>33.426388888888894</v>
      </c>
      <c r="I79" s="70">
        <v>2.5767665952890795</v>
      </c>
    </row>
    <row r="80" spans="1:9">
      <c r="A80" s="38" t="s">
        <v>436</v>
      </c>
      <c r="B80">
        <v>4231</v>
      </c>
      <c r="C80">
        <v>7.67</v>
      </c>
      <c r="D80">
        <v>133</v>
      </c>
      <c r="E80" s="70">
        <v>359.96</v>
      </c>
      <c r="F80" s="1">
        <v>3.143464901914441E-2</v>
      </c>
      <c r="G80" s="1">
        <v>5.7669172932330828E-2</v>
      </c>
      <c r="H80" s="70">
        <v>46.930899608865708</v>
      </c>
      <c r="I80" s="70">
        <v>2.7064661654135338</v>
      </c>
    </row>
    <row r="81" spans="1:9">
      <c r="A81" s="38" t="s">
        <v>438</v>
      </c>
      <c r="B81">
        <v>4176</v>
      </c>
      <c r="C81">
        <v>2</v>
      </c>
      <c r="D81">
        <v>48</v>
      </c>
      <c r="E81" s="70">
        <v>110.57</v>
      </c>
      <c r="F81" s="1">
        <v>1.1494252873563218E-2</v>
      </c>
      <c r="G81" s="1">
        <v>4.1666666666666664E-2</v>
      </c>
      <c r="H81" s="70">
        <v>55.284999999999997</v>
      </c>
      <c r="I81" s="70">
        <v>2.3035416666666664</v>
      </c>
    </row>
    <row r="82" spans="1:9">
      <c r="A82" s="38" t="s">
        <v>395</v>
      </c>
      <c r="B82">
        <v>2749</v>
      </c>
      <c r="C82">
        <v>4.33</v>
      </c>
      <c r="D82">
        <v>78</v>
      </c>
      <c r="E82" s="70">
        <v>211.21</v>
      </c>
      <c r="F82" s="1">
        <v>2.8373954165150966E-2</v>
      </c>
      <c r="G82" s="1">
        <v>5.5512820512820513E-2</v>
      </c>
      <c r="H82" s="70">
        <v>48.778290993071593</v>
      </c>
      <c r="I82" s="70">
        <v>2.7078205128205131</v>
      </c>
    </row>
    <row r="83" spans="1:9">
      <c r="A83" s="38" t="s">
        <v>440</v>
      </c>
      <c r="B83">
        <v>2204</v>
      </c>
      <c r="C83">
        <v>3</v>
      </c>
      <c r="D83">
        <v>40</v>
      </c>
      <c r="E83" s="70">
        <v>83.56</v>
      </c>
      <c r="F83" s="1">
        <v>1.8148820326678767E-2</v>
      </c>
      <c r="G83" s="1">
        <v>7.4999999999999997E-2</v>
      </c>
      <c r="H83" s="70">
        <v>27.853333333333335</v>
      </c>
      <c r="I83" s="70">
        <v>2.089</v>
      </c>
    </row>
    <row r="84" spans="1:9">
      <c r="A84" s="38" t="s">
        <v>454</v>
      </c>
      <c r="B84">
        <v>1984</v>
      </c>
      <c r="C84">
        <v>1</v>
      </c>
      <c r="D84">
        <v>32</v>
      </c>
      <c r="E84" s="70">
        <v>62.92</v>
      </c>
      <c r="F84" s="1">
        <v>1.6129032258064516E-2</v>
      </c>
      <c r="G84" s="1">
        <v>3.125E-2</v>
      </c>
      <c r="H84" s="70">
        <v>62.92</v>
      </c>
      <c r="I84" s="70">
        <v>1.9662500000000001</v>
      </c>
    </row>
    <row r="85" spans="1:9">
      <c r="A85" s="38" t="s">
        <v>377</v>
      </c>
      <c r="B85">
        <v>1730</v>
      </c>
      <c r="C85">
        <v>7</v>
      </c>
      <c r="D85">
        <v>53</v>
      </c>
      <c r="E85" s="70">
        <v>139.85</v>
      </c>
      <c r="F85" s="1">
        <v>3.0635838150289016E-2</v>
      </c>
      <c r="G85" s="1">
        <v>0.13207547169811321</v>
      </c>
      <c r="H85" s="70">
        <v>19.978571428571428</v>
      </c>
      <c r="I85" s="70">
        <v>2.6386792452830186</v>
      </c>
    </row>
    <row r="86" spans="1:9">
      <c r="A86" s="38" t="s">
        <v>406</v>
      </c>
      <c r="B86">
        <v>602</v>
      </c>
      <c r="C86">
        <v>2</v>
      </c>
      <c r="D86">
        <v>6</v>
      </c>
      <c r="E86" s="70">
        <v>10.99</v>
      </c>
      <c r="F86" s="1">
        <v>9.9667774086378731E-3</v>
      </c>
      <c r="G86" s="1">
        <v>0.33333333333333331</v>
      </c>
      <c r="H86" s="70">
        <v>5.4950000000000001</v>
      </c>
      <c r="I86" s="70">
        <v>1.8316666666666668</v>
      </c>
    </row>
    <row r="87" spans="1:9">
      <c r="A87" s="38" t="s">
        <v>388</v>
      </c>
      <c r="B87">
        <v>546</v>
      </c>
      <c r="C87">
        <v>2</v>
      </c>
      <c r="D87">
        <v>19</v>
      </c>
      <c r="E87" s="70">
        <v>57.27</v>
      </c>
      <c r="F87" s="1">
        <v>3.47985347985348E-2</v>
      </c>
      <c r="G87" s="1">
        <v>0.10526315789473684</v>
      </c>
      <c r="H87" s="70">
        <v>28.635000000000002</v>
      </c>
      <c r="I87" s="70">
        <v>3.0142105263157895</v>
      </c>
    </row>
    <row r="88" spans="1:9">
      <c r="A88" s="38" t="s">
        <v>444</v>
      </c>
      <c r="B88">
        <v>426</v>
      </c>
      <c r="C88">
        <v>3</v>
      </c>
      <c r="D88">
        <v>7</v>
      </c>
      <c r="E88" s="70">
        <v>17.45</v>
      </c>
      <c r="F88" s="1">
        <v>1.6431924882629109E-2</v>
      </c>
      <c r="G88" s="1">
        <v>0.42857142857142855</v>
      </c>
      <c r="H88" s="70">
        <v>5.8166666666666664</v>
      </c>
      <c r="I88" s="70">
        <v>2.4928571428571429</v>
      </c>
    </row>
    <row r="89" spans="1:9">
      <c r="A89" s="38" t="s">
        <v>450</v>
      </c>
      <c r="B89">
        <v>364</v>
      </c>
      <c r="C89">
        <v>0</v>
      </c>
      <c r="D89">
        <v>9</v>
      </c>
      <c r="E89" s="70">
        <v>37.369999999999997</v>
      </c>
      <c r="F89" s="1">
        <v>2.4725274725274724E-2</v>
      </c>
      <c r="G89" s="1">
        <v>0</v>
      </c>
      <c r="H89" s="70">
        <v>0</v>
      </c>
      <c r="I89" s="70">
        <v>4.152222222222222</v>
      </c>
    </row>
    <row r="90" spans="1:9">
      <c r="A90" s="38" t="s">
        <v>391</v>
      </c>
      <c r="B90">
        <v>295</v>
      </c>
      <c r="C90">
        <v>0</v>
      </c>
      <c r="D90">
        <v>6</v>
      </c>
      <c r="E90" s="70">
        <v>20.3</v>
      </c>
      <c r="F90" s="1">
        <v>2.0338983050847456E-2</v>
      </c>
      <c r="G90" s="1">
        <v>0</v>
      </c>
      <c r="H90" s="70">
        <v>0</v>
      </c>
      <c r="I90" s="70">
        <v>3.3833333333333333</v>
      </c>
    </row>
    <row r="91" spans="1:9">
      <c r="A91" s="38" t="s">
        <v>423</v>
      </c>
      <c r="B91">
        <v>244</v>
      </c>
      <c r="C91">
        <v>1</v>
      </c>
      <c r="D91">
        <v>17</v>
      </c>
      <c r="E91" s="70">
        <v>47.15</v>
      </c>
      <c r="F91" s="1">
        <v>6.9672131147540978E-2</v>
      </c>
      <c r="G91" s="1">
        <v>5.8823529411764705E-2</v>
      </c>
      <c r="H91" s="70">
        <v>47.15</v>
      </c>
      <c r="I91" s="70">
        <v>2.7735294117647058</v>
      </c>
    </row>
    <row r="92" spans="1:9">
      <c r="A92" s="38" t="s">
        <v>445</v>
      </c>
      <c r="B92">
        <v>146</v>
      </c>
      <c r="C92">
        <v>0</v>
      </c>
      <c r="D92">
        <v>2</v>
      </c>
      <c r="E92" s="70">
        <v>5.39</v>
      </c>
      <c r="F92" s="1">
        <v>1.3698630136986301E-2</v>
      </c>
      <c r="G92" s="1">
        <v>0</v>
      </c>
      <c r="H92" s="70">
        <v>0</v>
      </c>
      <c r="I92" s="70">
        <v>2.6949999999999998</v>
      </c>
    </row>
    <row r="93" spans="1:9">
      <c r="A93" s="38" t="s">
        <v>417</v>
      </c>
      <c r="B93">
        <v>96</v>
      </c>
      <c r="C93">
        <v>0</v>
      </c>
      <c r="D93">
        <v>5</v>
      </c>
      <c r="E93" s="70">
        <v>9.3800000000000008</v>
      </c>
      <c r="F93" s="1">
        <v>5.2083333333333336E-2</v>
      </c>
      <c r="G93" s="1">
        <v>0</v>
      </c>
      <c r="H93" s="70">
        <v>0</v>
      </c>
      <c r="I93" s="70">
        <v>1.8760000000000001</v>
      </c>
    </row>
    <row r="94" spans="1:9">
      <c r="A94" s="38" t="s">
        <v>433</v>
      </c>
      <c r="B94">
        <v>47</v>
      </c>
      <c r="C94">
        <v>0</v>
      </c>
      <c r="D94">
        <v>1</v>
      </c>
      <c r="E94" s="70">
        <v>2.58</v>
      </c>
      <c r="F94" s="1">
        <v>2.1276595744680851E-2</v>
      </c>
      <c r="G94" s="1">
        <v>0</v>
      </c>
      <c r="H94" s="70">
        <v>0</v>
      </c>
      <c r="I94" s="70">
        <v>2.58</v>
      </c>
    </row>
    <row r="95" spans="1:9">
      <c r="A95" s="38" t="s">
        <v>441</v>
      </c>
      <c r="B95">
        <v>44</v>
      </c>
      <c r="C95">
        <v>0</v>
      </c>
      <c r="D95">
        <v>5</v>
      </c>
      <c r="E95" s="70">
        <v>13.34</v>
      </c>
      <c r="F95" s="1">
        <v>0.11363636363636363</v>
      </c>
      <c r="G95" s="1">
        <v>0</v>
      </c>
      <c r="H95" s="70">
        <v>0</v>
      </c>
      <c r="I95" s="70">
        <v>2.6680000000000001</v>
      </c>
    </row>
    <row r="96" spans="1:9">
      <c r="A96" s="38" t="s">
        <v>453</v>
      </c>
      <c r="B96">
        <v>42</v>
      </c>
      <c r="C96">
        <v>0</v>
      </c>
      <c r="D96">
        <v>0</v>
      </c>
      <c r="E96" s="70">
        <v>0</v>
      </c>
      <c r="F96" s="1">
        <v>0</v>
      </c>
      <c r="G96" s="1">
        <v>0</v>
      </c>
      <c r="H96" s="70">
        <v>0</v>
      </c>
      <c r="I96" s="70">
        <v>0</v>
      </c>
    </row>
    <row r="97" spans="1:9">
      <c r="A97" s="38" t="s">
        <v>400</v>
      </c>
      <c r="B97">
        <v>28</v>
      </c>
      <c r="C97">
        <v>0</v>
      </c>
      <c r="D97">
        <v>0</v>
      </c>
      <c r="E97" s="70">
        <v>0</v>
      </c>
      <c r="F97" s="1">
        <v>0</v>
      </c>
      <c r="G97" s="1">
        <v>0</v>
      </c>
      <c r="H97" s="70">
        <v>0</v>
      </c>
      <c r="I97" s="70">
        <v>0</v>
      </c>
    </row>
    <row r="98" spans="1:9">
      <c r="A98" s="38" t="s">
        <v>434</v>
      </c>
      <c r="B98">
        <v>27</v>
      </c>
      <c r="C98">
        <v>2</v>
      </c>
      <c r="D98">
        <v>2</v>
      </c>
      <c r="E98" s="70">
        <v>3.66</v>
      </c>
      <c r="F98" s="1">
        <v>7.407407407407407E-2</v>
      </c>
      <c r="G98" s="1">
        <v>1</v>
      </c>
      <c r="H98" s="70">
        <v>1.83</v>
      </c>
      <c r="I98" s="70">
        <v>1.83</v>
      </c>
    </row>
    <row r="99" spans="1:9">
      <c r="A99" s="38" t="s">
        <v>452</v>
      </c>
      <c r="B99">
        <v>23</v>
      </c>
      <c r="C99">
        <v>0</v>
      </c>
      <c r="D99">
        <v>0</v>
      </c>
      <c r="E99" s="70">
        <v>0</v>
      </c>
      <c r="F99" s="1">
        <v>0</v>
      </c>
      <c r="G99" s="1">
        <v>0</v>
      </c>
      <c r="H99" s="70">
        <v>0</v>
      </c>
      <c r="I99" s="70">
        <v>0</v>
      </c>
    </row>
    <row r="100" spans="1:9">
      <c r="A100" s="38" t="s">
        <v>385</v>
      </c>
      <c r="B100">
        <v>20</v>
      </c>
      <c r="C100">
        <v>0</v>
      </c>
      <c r="D100">
        <v>0</v>
      </c>
      <c r="E100" s="70">
        <v>0</v>
      </c>
      <c r="F100" s="1">
        <v>0</v>
      </c>
      <c r="G100" s="1">
        <v>0</v>
      </c>
      <c r="H100" s="70">
        <v>0</v>
      </c>
      <c r="I100" s="70">
        <v>0</v>
      </c>
    </row>
    <row r="101" spans="1:9">
      <c r="A101" s="38" t="s">
        <v>401</v>
      </c>
      <c r="B101">
        <v>16</v>
      </c>
      <c r="C101">
        <v>0</v>
      </c>
      <c r="D101">
        <v>1</v>
      </c>
      <c r="E101" s="70">
        <v>0.71</v>
      </c>
      <c r="F101" s="1">
        <v>6.25E-2</v>
      </c>
      <c r="G101" s="1">
        <v>0</v>
      </c>
      <c r="H101" s="70">
        <v>0</v>
      </c>
      <c r="I101" s="70">
        <v>0.71</v>
      </c>
    </row>
    <row r="102" spans="1:9">
      <c r="A102" s="38" t="s">
        <v>403</v>
      </c>
      <c r="B102">
        <v>16</v>
      </c>
      <c r="C102">
        <v>0</v>
      </c>
      <c r="D102">
        <v>0</v>
      </c>
      <c r="E102" s="70">
        <v>0</v>
      </c>
      <c r="F102" s="1">
        <v>0</v>
      </c>
      <c r="G102" s="1">
        <v>0</v>
      </c>
      <c r="H102" s="70">
        <v>0</v>
      </c>
      <c r="I102" s="70">
        <v>0</v>
      </c>
    </row>
    <row r="103" spans="1:9">
      <c r="A103" s="38" t="s">
        <v>416</v>
      </c>
      <c r="B103">
        <v>15</v>
      </c>
      <c r="C103">
        <v>1</v>
      </c>
      <c r="D103">
        <v>2</v>
      </c>
      <c r="E103" s="70">
        <v>6.02</v>
      </c>
      <c r="F103" s="1">
        <v>0.13333333333333333</v>
      </c>
      <c r="G103" s="1">
        <v>0.5</v>
      </c>
      <c r="H103" s="70">
        <v>6.02</v>
      </c>
      <c r="I103" s="70">
        <v>3.01</v>
      </c>
    </row>
    <row r="104" spans="1:9">
      <c r="A104" s="38" t="s">
        <v>374</v>
      </c>
      <c r="B104">
        <v>14</v>
      </c>
      <c r="C104">
        <v>0</v>
      </c>
      <c r="D104">
        <v>0</v>
      </c>
      <c r="E104" s="70">
        <v>0</v>
      </c>
      <c r="F104" s="1">
        <v>0</v>
      </c>
      <c r="G104" s="1">
        <v>0</v>
      </c>
      <c r="H104" s="70">
        <v>0</v>
      </c>
      <c r="I104" s="70">
        <v>0</v>
      </c>
    </row>
    <row r="105" spans="1:9">
      <c r="A105" s="38" t="s">
        <v>375</v>
      </c>
      <c r="B105">
        <v>12</v>
      </c>
      <c r="C105">
        <v>0</v>
      </c>
      <c r="D105">
        <v>0</v>
      </c>
      <c r="E105" s="70">
        <v>0</v>
      </c>
      <c r="F105" s="1">
        <v>0</v>
      </c>
      <c r="G105" s="1">
        <v>0</v>
      </c>
      <c r="H105" s="70">
        <v>0</v>
      </c>
      <c r="I105" s="70">
        <v>0</v>
      </c>
    </row>
    <row r="106" spans="1:9">
      <c r="A106" s="38" t="s">
        <v>409</v>
      </c>
      <c r="B106">
        <v>12</v>
      </c>
      <c r="C106">
        <v>0</v>
      </c>
      <c r="D106">
        <v>1</v>
      </c>
      <c r="E106" s="70">
        <v>3.67</v>
      </c>
      <c r="F106" s="1">
        <v>8.3333333333333329E-2</v>
      </c>
      <c r="G106" s="1">
        <v>0</v>
      </c>
      <c r="H106" s="70">
        <v>0</v>
      </c>
      <c r="I106" s="70">
        <v>3.67</v>
      </c>
    </row>
    <row r="107" spans="1:9">
      <c r="A107" s="38" t="s">
        <v>455</v>
      </c>
      <c r="B107">
        <v>11</v>
      </c>
      <c r="C107">
        <v>0</v>
      </c>
      <c r="D107">
        <v>0</v>
      </c>
      <c r="E107" s="70">
        <v>0</v>
      </c>
      <c r="F107" s="1">
        <v>0</v>
      </c>
      <c r="G107" s="1">
        <v>0</v>
      </c>
      <c r="H107" s="70">
        <v>0</v>
      </c>
      <c r="I107" s="70">
        <v>0</v>
      </c>
    </row>
    <row r="108" spans="1:9">
      <c r="A108" s="8" t="s">
        <v>33</v>
      </c>
      <c r="B108">
        <v>30549</v>
      </c>
      <c r="C108">
        <v>72</v>
      </c>
      <c r="D108">
        <v>947</v>
      </c>
      <c r="E108" s="70">
        <v>3124.7899999999995</v>
      </c>
      <c r="F108" s="1">
        <v>3.099937804838129E-2</v>
      </c>
      <c r="G108" s="1">
        <v>7.6029567053854274E-2</v>
      </c>
      <c r="H108" s="70">
        <v>43.399861111111107</v>
      </c>
      <c r="I108" s="70">
        <v>3.2996726504751841</v>
      </c>
    </row>
    <row r="109" spans="1:9">
      <c r="E109"/>
      <c r="F109"/>
      <c r="G109"/>
      <c r="H109"/>
      <c r="I109"/>
    </row>
    <row r="110" spans="1:9">
      <c r="E110"/>
      <c r="F110"/>
      <c r="G110"/>
      <c r="H110"/>
      <c r="I110"/>
    </row>
    <row r="111" spans="1:9" s="72" customFormat="1"/>
    <row r="112" spans="1:9">
      <c r="A112" s="74" t="s">
        <v>511</v>
      </c>
    </row>
    <row r="113" spans="1:9">
      <c r="A113" s="7" t="s">
        <v>510</v>
      </c>
      <c r="B113" t="s">
        <v>502</v>
      </c>
      <c r="C113" t="s">
        <v>504</v>
      </c>
      <c r="D113" s="70" t="s">
        <v>505</v>
      </c>
      <c r="E113" t="s">
        <v>503</v>
      </c>
      <c r="F113" s="1" t="s">
        <v>506</v>
      </c>
      <c r="G113" s="1" t="s">
        <v>507</v>
      </c>
      <c r="H113" t="s">
        <v>508</v>
      </c>
      <c r="I113" t="s">
        <v>509</v>
      </c>
    </row>
    <row r="114" spans="1:9">
      <c r="A114" s="8" t="s">
        <v>19</v>
      </c>
      <c r="B114" s="73">
        <v>9016</v>
      </c>
      <c r="C114" s="73">
        <v>382</v>
      </c>
      <c r="D114" s="70">
        <v>1640.8899999999996</v>
      </c>
      <c r="E114" s="73">
        <v>30</v>
      </c>
      <c r="F114" s="1">
        <v>4.2369121561668145E-2</v>
      </c>
      <c r="G114" s="1">
        <v>7.8534031413612565E-2</v>
      </c>
      <c r="H114" s="70">
        <v>54.696333333333321</v>
      </c>
      <c r="I114" s="70">
        <v>4.2955235602094231</v>
      </c>
    </row>
    <row r="115" spans="1:9">
      <c r="A115" s="38" t="s">
        <v>75</v>
      </c>
      <c r="B115" s="73">
        <v>8950</v>
      </c>
      <c r="C115" s="73">
        <v>376</v>
      </c>
      <c r="D115" s="70">
        <v>1613.6999999999998</v>
      </c>
      <c r="E115" s="73">
        <v>30</v>
      </c>
      <c r="F115" s="1">
        <v>4.2011173184357542E-2</v>
      </c>
      <c r="G115" s="1">
        <v>7.9787234042553196E-2</v>
      </c>
      <c r="H115" s="70">
        <v>53.789999999999992</v>
      </c>
      <c r="I115" s="70">
        <v>4.2917553191489359</v>
      </c>
    </row>
    <row r="116" spans="1:9">
      <c r="A116" s="71" t="s">
        <v>325</v>
      </c>
      <c r="B116" s="73">
        <v>1723</v>
      </c>
      <c r="C116" s="73">
        <v>67</v>
      </c>
      <c r="D116" s="70">
        <v>319.2</v>
      </c>
      <c r="E116" s="73">
        <v>3</v>
      </c>
      <c r="F116" s="1">
        <v>3.8885664538595474E-2</v>
      </c>
      <c r="G116" s="1">
        <v>4.4776119402985072E-2</v>
      </c>
      <c r="H116" s="70">
        <v>106.39999999999999</v>
      </c>
      <c r="I116" s="70">
        <v>4.7641791044776118</v>
      </c>
    </row>
    <row r="117" spans="1:9">
      <c r="A117" s="71" t="s">
        <v>283</v>
      </c>
      <c r="B117" s="73">
        <v>821</v>
      </c>
      <c r="C117" s="73">
        <v>31</v>
      </c>
      <c r="D117" s="70">
        <v>120.85</v>
      </c>
      <c r="E117" s="73">
        <v>2</v>
      </c>
      <c r="F117" s="1">
        <v>3.7758830694275276E-2</v>
      </c>
      <c r="G117" s="1">
        <v>6.4516129032258063E-2</v>
      </c>
      <c r="H117" s="70">
        <v>60.424999999999997</v>
      </c>
      <c r="I117" s="70">
        <v>3.8983870967741932</v>
      </c>
    </row>
    <row r="118" spans="1:9">
      <c r="A118" s="71" t="s">
        <v>221</v>
      </c>
      <c r="B118" s="73">
        <v>766</v>
      </c>
      <c r="C118" s="73">
        <v>34</v>
      </c>
      <c r="D118" s="70">
        <v>151.1</v>
      </c>
      <c r="E118" s="73">
        <v>5</v>
      </c>
      <c r="F118" s="1">
        <v>4.4386422976501305E-2</v>
      </c>
      <c r="G118" s="1">
        <v>0.14705882352941177</v>
      </c>
      <c r="H118" s="70">
        <v>30.22</v>
      </c>
      <c r="I118" s="70">
        <v>4.4441176470588237</v>
      </c>
    </row>
    <row r="119" spans="1:9">
      <c r="A119" s="71" t="s">
        <v>303</v>
      </c>
      <c r="B119" s="73">
        <v>683</v>
      </c>
      <c r="C119" s="73">
        <v>27</v>
      </c>
      <c r="D119" s="70">
        <v>111.52</v>
      </c>
      <c r="E119" s="73">
        <v>3</v>
      </c>
      <c r="F119" s="1">
        <v>3.9531478770131773E-2</v>
      </c>
      <c r="G119" s="1">
        <v>0.1111111111111111</v>
      </c>
      <c r="H119" s="70">
        <v>37.173333333333332</v>
      </c>
      <c r="I119" s="70">
        <v>4.13037037037037</v>
      </c>
    </row>
    <row r="120" spans="1:9">
      <c r="A120" s="71" t="s">
        <v>98</v>
      </c>
      <c r="B120" s="73">
        <v>538</v>
      </c>
      <c r="C120" s="73">
        <v>28</v>
      </c>
      <c r="D120" s="70">
        <v>116.36</v>
      </c>
      <c r="E120" s="73">
        <v>0</v>
      </c>
      <c r="F120" s="1">
        <v>5.204460966542751E-2</v>
      </c>
      <c r="G120" s="1">
        <v>0</v>
      </c>
      <c r="H120" s="70">
        <v>0</v>
      </c>
      <c r="I120" s="70">
        <v>4.1557142857142857</v>
      </c>
    </row>
    <row r="121" spans="1:9">
      <c r="A121" s="71" t="s">
        <v>323</v>
      </c>
      <c r="B121" s="73">
        <v>330</v>
      </c>
      <c r="C121" s="73">
        <v>28</v>
      </c>
      <c r="D121" s="70">
        <v>79.39</v>
      </c>
      <c r="E121" s="73">
        <v>0</v>
      </c>
      <c r="F121" s="1">
        <v>8.4848484848484854E-2</v>
      </c>
      <c r="G121" s="1">
        <v>0</v>
      </c>
      <c r="H121" s="70">
        <v>0</v>
      </c>
      <c r="I121" s="70">
        <v>2.8353571428571427</v>
      </c>
    </row>
    <row r="122" spans="1:9">
      <c r="A122" s="71" t="s">
        <v>224</v>
      </c>
      <c r="B122" s="73">
        <v>301</v>
      </c>
      <c r="C122" s="73">
        <v>14</v>
      </c>
      <c r="D122" s="70">
        <v>46.41</v>
      </c>
      <c r="E122" s="73">
        <v>0</v>
      </c>
      <c r="F122" s="1">
        <v>4.6511627906976744E-2</v>
      </c>
      <c r="G122" s="1">
        <v>0</v>
      </c>
      <c r="H122" s="70">
        <v>0</v>
      </c>
      <c r="I122" s="70">
        <v>3.3149999999999999</v>
      </c>
    </row>
    <row r="123" spans="1:9">
      <c r="A123" s="71" t="s">
        <v>310</v>
      </c>
      <c r="B123" s="73">
        <v>263</v>
      </c>
      <c r="C123" s="73">
        <v>9</v>
      </c>
      <c r="D123" s="70">
        <v>34.89</v>
      </c>
      <c r="E123" s="73">
        <v>1</v>
      </c>
      <c r="F123" s="1">
        <v>3.4220532319391636E-2</v>
      </c>
      <c r="G123" s="1">
        <v>0.1111111111111111</v>
      </c>
      <c r="H123" s="70">
        <v>34.89</v>
      </c>
      <c r="I123" s="70">
        <v>3.8766666666666669</v>
      </c>
    </row>
    <row r="124" spans="1:9">
      <c r="A124" s="71" t="s">
        <v>88</v>
      </c>
      <c r="B124" s="73">
        <v>228</v>
      </c>
      <c r="C124" s="73">
        <v>8</v>
      </c>
      <c r="D124" s="70">
        <v>32.25</v>
      </c>
      <c r="E124" s="73">
        <v>0</v>
      </c>
      <c r="F124" s="1">
        <v>3.5087719298245612E-2</v>
      </c>
      <c r="G124" s="1">
        <v>0</v>
      </c>
      <c r="H124" s="70">
        <v>0</v>
      </c>
      <c r="I124" s="70">
        <v>4.03125</v>
      </c>
    </row>
    <row r="125" spans="1:9">
      <c r="A125" s="71" t="s">
        <v>191</v>
      </c>
      <c r="B125" s="73">
        <v>226</v>
      </c>
      <c r="C125" s="73">
        <v>11</v>
      </c>
      <c r="D125" s="70">
        <v>45.25</v>
      </c>
      <c r="E125" s="73">
        <v>8</v>
      </c>
      <c r="F125" s="1">
        <v>4.8672566371681415E-2</v>
      </c>
      <c r="G125" s="1">
        <v>0.72727272727272729</v>
      </c>
      <c r="H125" s="70">
        <v>5.65625</v>
      </c>
      <c r="I125" s="70">
        <v>4.1136363636363633</v>
      </c>
    </row>
    <row r="126" spans="1:9">
      <c r="A126" s="71" t="s">
        <v>341</v>
      </c>
      <c r="B126" s="73">
        <v>215</v>
      </c>
      <c r="C126" s="73">
        <v>12</v>
      </c>
      <c r="D126" s="70">
        <v>101.48</v>
      </c>
      <c r="E126" s="73">
        <v>0</v>
      </c>
      <c r="F126" s="1">
        <v>5.5813953488372092E-2</v>
      </c>
      <c r="G126" s="1">
        <v>0</v>
      </c>
      <c r="H126" s="70">
        <v>0</v>
      </c>
      <c r="I126" s="70">
        <v>8.456666666666667</v>
      </c>
    </row>
    <row r="127" spans="1:9">
      <c r="A127" s="71" t="s">
        <v>357</v>
      </c>
      <c r="B127" s="73">
        <v>210</v>
      </c>
      <c r="C127" s="73">
        <v>15</v>
      </c>
      <c r="D127" s="70">
        <v>63.88</v>
      </c>
      <c r="E127" s="73">
        <v>1</v>
      </c>
      <c r="F127" s="1">
        <v>7.1428571428571425E-2</v>
      </c>
      <c r="G127" s="1">
        <v>6.6666666666666666E-2</v>
      </c>
      <c r="H127" s="70">
        <v>63.88</v>
      </c>
      <c r="I127" s="70">
        <v>4.2586666666666666</v>
      </c>
    </row>
    <row r="128" spans="1:9">
      <c r="A128" s="71" t="s">
        <v>233</v>
      </c>
      <c r="B128" s="73">
        <v>166</v>
      </c>
      <c r="C128" s="73">
        <v>7</v>
      </c>
      <c r="D128" s="70">
        <v>22.79</v>
      </c>
      <c r="E128" s="73">
        <v>1</v>
      </c>
      <c r="F128" s="1">
        <v>4.2168674698795178E-2</v>
      </c>
      <c r="G128" s="1">
        <v>0.14285714285714285</v>
      </c>
      <c r="H128" s="70">
        <v>22.79</v>
      </c>
      <c r="I128" s="70">
        <v>3.2557142857142858</v>
      </c>
    </row>
    <row r="129" spans="1:9">
      <c r="A129" s="71" t="s">
        <v>277</v>
      </c>
      <c r="B129" s="73">
        <v>158</v>
      </c>
      <c r="C129" s="73">
        <v>8</v>
      </c>
      <c r="D129" s="70">
        <v>30.82</v>
      </c>
      <c r="E129" s="73">
        <v>1</v>
      </c>
      <c r="F129" s="1">
        <v>5.0632911392405063E-2</v>
      </c>
      <c r="G129" s="1">
        <v>0.125</v>
      </c>
      <c r="H129" s="70">
        <v>30.82</v>
      </c>
      <c r="I129" s="70">
        <v>3.8525</v>
      </c>
    </row>
    <row r="130" spans="1:9">
      <c r="A130" s="71" t="s">
        <v>366</v>
      </c>
      <c r="B130" s="73">
        <v>154</v>
      </c>
      <c r="C130" s="73">
        <v>5</v>
      </c>
      <c r="D130" s="70">
        <v>17.45</v>
      </c>
      <c r="E130" s="73">
        <v>0</v>
      </c>
      <c r="F130" s="1">
        <v>3.2467532467532464E-2</v>
      </c>
      <c r="G130" s="1">
        <v>0</v>
      </c>
      <c r="H130" s="70">
        <v>0</v>
      </c>
      <c r="I130" s="70">
        <v>3.4899999999999998</v>
      </c>
    </row>
    <row r="131" spans="1:9">
      <c r="A131" s="71" t="s">
        <v>92</v>
      </c>
      <c r="B131" s="73">
        <v>153</v>
      </c>
      <c r="C131" s="73">
        <v>7</v>
      </c>
      <c r="D131" s="70">
        <v>28.09</v>
      </c>
      <c r="E131" s="73">
        <v>1</v>
      </c>
      <c r="F131" s="1">
        <v>4.5751633986928102E-2</v>
      </c>
      <c r="G131" s="1">
        <v>0.14285714285714285</v>
      </c>
      <c r="H131" s="70">
        <v>28.09</v>
      </c>
      <c r="I131" s="70">
        <v>4.0128571428571425</v>
      </c>
    </row>
    <row r="132" spans="1:9">
      <c r="A132" s="71" t="s">
        <v>152</v>
      </c>
      <c r="B132" s="73">
        <v>148</v>
      </c>
      <c r="C132" s="73">
        <v>5</v>
      </c>
      <c r="D132" s="70">
        <v>36.04</v>
      </c>
      <c r="E132" s="73">
        <v>0</v>
      </c>
      <c r="F132" s="1">
        <v>3.3783783783783786E-2</v>
      </c>
      <c r="G132" s="1">
        <v>0</v>
      </c>
      <c r="H132" s="70">
        <v>0</v>
      </c>
      <c r="I132" s="70">
        <v>7.2080000000000002</v>
      </c>
    </row>
    <row r="133" spans="1:9">
      <c r="A133" s="71" t="s">
        <v>200</v>
      </c>
      <c r="B133" s="73">
        <v>113</v>
      </c>
      <c r="C133" s="73">
        <v>8</v>
      </c>
      <c r="D133" s="70">
        <v>40.119999999999997</v>
      </c>
      <c r="E133" s="73">
        <v>0</v>
      </c>
      <c r="F133" s="1">
        <v>7.0796460176991149E-2</v>
      </c>
      <c r="G133" s="1">
        <v>0</v>
      </c>
      <c r="H133" s="70">
        <v>0</v>
      </c>
      <c r="I133" s="70">
        <v>5.0149999999999997</v>
      </c>
    </row>
    <row r="134" spans="1:9">
      <c r="A134" s="71" t="s">
        <v>244</v>
      </c>
      <c r="B134" s="73">
        <v>110</v>
      </c>
      <c r="C134" s="73">
        <v>3</v>
      </c>
      <c r="D134" s="70">
        <v>10.8</v>
      </c>
      <c r="E134" s="73">
        <v>0</v>
      </c>
      <c r="F134" s="1">
        <v>2.7272727272727271E-2</v>
      </c>
      <c r="G134" s="1">
        <v>0</v>
      </c>
      <c r="H134" s="70">
        <v>0</v>
      </c>
      <c r="I134" s="70">
        <v>3.6</v>
      </c>
    </row>
    <row r="135" spans="1:9">
      <c r="A135" s="71" t="s">
        <v>343</v>
      </c>
      <c r="B135" s="73">
        <v>90</v>
      </c>
      <c r="C135" s="73">
        <v>5</v>
      </c>
      <c r="D135" s="70">
        <v>18.07</v>
      </c>
      <c r="E135" s="73">
        <v>1</v>
      </c>
      <c r="F135" s="1">
        <v>5.5555555555555552E-2</v>
      </c>
      <c r="G135" s="1">
        <v>0.2</v>
      </c>
      <c r="H135" s="70">
        <v>18.07</v>
      </c>
      <c r="I135" s="70">
        <v>3.6139999999999999</v>
      </c>
    </row>
    <row r="136" spans="1:9">
      <c r="A136" s="71" t="s">
        <v>264</v>
      </c>
      <c r="B136" s="73">
        <v>89</v>
      </c>
      <c r="C136" s="73">
        <v>2</v>
      </c>
      <c r="D136" s="70">
        <v>6.89</v>
      </c>
      <c r="E136" s="73">
        <v>0</v>
      </c>
      <c r="F136" s="1">
        <v>2.247191011235955E-2</v>
      </c>
      <c r="G136" s="1">
        <v>0</v>
      </c>
      <c r="H136" s="70">
        <v>0</v>
      </c>
      <c r="I136" s="70">
        <v>3.4449999999999998</v>
      </c>
    </row>
    <row r="137" spans="1:9">
      <c r="A137" s="71" t="s">
        <v>316</v>
      </c>
      <c r="B137" s="73">
        <v>81</v>
      </c>
      <c r="C137" s="73">
        <v>2</v>
      </c>
      <c r="D137" s="70">
        <v>9.06</v>
      </c>
      <c r="E137" s="73">
        <v>0</v>
      </c>
      <c r="F137" s="1">
        <v>2.4691358024691357E-2</v>
      </c>
      <c r="G137" s="1">
        <v>0</v>
      </c>
      <c r="H137" s="70">
        <v>0</v>
      </c>
      <c r="I137" s="70">
        <v>4.53</v>
      </c>
    </row>
    <row r="138" spans="1:9">
      <c r="A138" s="71" t="s">
        <v>177</v>
      </c>
      <c r="B138" s="73">
        <v>79</v>
      </c>
      <c r="C138" s="73">
        <v>0</v>
      </c>
      <c r="D138" s="70">
        <v>0</v>
      </c>
      <c r="E138" s="73">
        <v>0</v>
      </c>
      <c r="F138" s="1">
        <v>0</v>
      </c>
      <c r="G138" s="1">
        <v>0</v>
      </c>
      <c r="H138" s="70">
        <v>0</v>
      </c>
      <c r="I138" s="70">
        <v>0</v>
      </c>
    </row>
    <row r="139" spans="1:9">
      <c r="A139" s="71" t="s">
        <v>243</v>
      </c>
      <c r="B139" s="73">
        <v>72</v>
      </c>
      <c r="C139" s="73">
        <v>0</v>
      </c>
      <c r="D139" s="70">
        <v>0</v>
      </c>
      <c r="E139" s="73">
        <v>0</v>
      </c>
      <c r="F139" s="1">
        <v>0</v>
      </c>
      <c r="G139" s="1">
        <v>0</v>
      </c>
      <c r="H139" s="70">
        <v>0</v>
      </c>
      <c r="I139" s="70">
        <v>0</v>
      </c>
    </row>
    <row r="140" spans="1:9">
      <c r="A140" s="71" t="s">
        <v>241</v>
      </c>
      <c r="B140" s="73">
        <v>69</v>
      </c>
      <c r="C140" s="73">
        <v>3</v>
      </c>
      <c r="D140" s="70">
        <v>16.09</v>
      </c>
      <c r="E140" s="73">
        <v>0</v>
      </c>
      <c r="F140" s="1">
        <v>4.3478260869565216E-2</v>
      </c>
      <c r="G140" s="1">
        <v>0</v>
      </c>
      <c r="H140" s="70">
        <v>0</v>
      </c>
      <c r="I140" s="70">
        <v>5.3633333333333333</v>
      </c>
    </row>
    <row r="141" spans="1:9">
      <c r="A141" s="71" t="s">
        <v>157</v>
      </c>
      <c r="B141" s="73">
        <v>64</v>
      </c>
      <c r="C141" s="73">
        <v>0</v>
      </c>
      <c r="D141" s="70">
        <v>0</v>
      </c>
      <c r="E141" s="73">
        <v>0</v>
      </c>
      <c r="F141" s="1">
        <v>0</v>
      </c>
      <c r="G141" s="1">
        <v>0</v>
      </c>
      <c r="H141" s="70">
        <v>0</v>
      </c>
      <c r="I141" s="70">
        <v>0</v>
      </c>
    </row>
    <row r="142" spans="1:9">
      <c r="A142" s="71" t="s">
        <v>203</v>
      </c>
      <c r="B142" s="73">
        <v>63</v>
      </c>
      <c r="C142" s="73">
        <v>3</v>
      </c>
      <c r="D142" s="70">
        <v>14.92</v>
      </c>
      <c r="E142" s="73">
        <v>0</v>
      </c>
      <c r="F142" s="1">
        <v>4.7619047619047616E-2</v>
      </c>
      <c r="G142" s="1">
        <v>0</v>
      </c>
      <c r="H142" s="70">
        <v>0</v>
      </c>
      <c r="I142" s="70">
        <v>4.9733333333333336</v>
      </c>
    </row>
    <row r="143" spans="1:9">
      <c r="A143" s="71" t="s">
        <v>238</v>
      </c>
      <c r="B143" s="73">
        <v>62</v>
      </c>
      <c r="C143" s="73">
        <v>2</v>
      </c>
      <c r="D143" s="70">
        <v>7.21</v>
      </c>
      <c r="E143" s="73">
        <v>0</v>
      </c>
      <c r="F143" s="1">
        <v>3.2258064516129031E-2</v>
      </c>
      <c r="G143" s="1">
        <v>0</v>
      </c>
      <c r="H143" s="70">
        <v>0</v>
      </c>
      <c r="I143" s="70">
        <v>3.605</v>
      </c>
    </row>
    <row r="144" spans="1:9">
      <c r="A144" s="71" t="s">
        <v>304</v>
      </c>
      <c r="B144" s="73">
        <v>59</v>
      </c>
      <c r="C144" s="73">
        <v>1</v>
      </c>
      <c r="D144" s="70">
        <v>6.08</v>
      </c>
      <c r="E144" s="73">
        <v>0</v>
      </c>
      <c r="F144" s="1">
        <v>1.6949152542372881E-2</v>
      </c>
      <c r="G144" s="1">
        <v>0</v>
      </c>
      <c r="H144" s="70">
        <v>0</v>
      </c>
      <c r="I144" s="70">
        <v>6.08</v>
      </c>
    </row>
    <row r="145" spans="1:9">
      <c r="A145" s="71" t="s">
        <v>368</v>
      </c>
      <c r="B145" s="73">
        <v>56</v>
      </c>
      <c r="C145" s="73">
        <v>3</v>
      </c>
      <c r="D145" s="70">
        <v>11.89</v>
      </c>
      <c r="E145" s="73">
        <v>0</v>
      </c>
      <c r="F145" s="1">
        <v>5.3571428571428568E-2</v>
      </c>
      <c r="G145" s="1">
        <v>0</v>
      </c>
      <c r="H145" s="70">
        <v>0</v>
      </c>
      <c r="I145" s="70">
        <v>3.9633333333333334</v>
      </c>
    </row>
    <row r="146" spans="1:9">
      <c r="A146" s="71" t="s">
        <v>320</v>
      </c>
      <c r="B146" s="73">
        <v>56</v>
      </c>
      <c r="C146" s="73">
        <v>4</v>
      </c>
      <c r="D146" s="70">
        <v>14.7</v>
      </c>
      <c r="E146" s="73">
        <v>0</v>
      </c>
      <c r="F146" s="1">
        <v>7.1428571428571425E-2</v>
      </c>
      <c r="G146" s="1">
        <v>0</v>
      </c>
      <c r="H146" s="70">
        <v>0</v>
      </c>
      <c r="I146" s="70">
        <v>3.6749999999999998</v>
      </c>
    </row>
    <row r="147" spans="1:9">
      <c r="A147" s="71" t="s">
        <v>189</v>
      </c>
      <c r="B147" s="73">
        <v>51</v>
      </c>
      <c r="C147" s="73">
        <v>0</v>
      </c>
      <c r="D147" s="70">
        <v>0</v>
      </c>
      <c r="E147" s="73">
        <v>0</v>
      </c>
      <c r="F147" s="1">
        <v>0</v>
      </c>
      <c r="G147" s="1">
        <v>0</v>
      </c>
      <c r="H147" s="70">
        <v>0</v>
      </c>
      <c r="I147" s="70">
        <v>0</v>
      </c>
    </row>
    <row r="148" spans="1:9">
      <c r="A148" s="71" t="s">
        <v>269</v>
      </c>
      <c r="B148" s="73">
        <v>50</v>
      </c>
      <c r="C148" s="73">
        <v>6</v>
      </c>
      <c r="D148" s="70">
        <v>19.68</v>
      </c>
      <c r="E148" s="73">
        <v>0</v>
      </c>
      <c r="F148" s="1">
        <v>0.12</v>
      </c>
      <c r="G148" s="1">
        <v>0</v>
      </c>
      <c r="H148" s="70">
        <v>0</v>
      </c>
      <c r="I148" s="70">
        <v>3.28</v>
      </c>
    </row>
    <row r="149" spans="1:9">
      <c r="A149" s="71" t="s">
        <v>164</v>
      </c>
      <c r="B149" s="73">
        <v>49</v>
      </c>
      <c r="C149" s="73">
        <v>0</v>
      </c>
      <c r="D149" s="70">
        <v>0</v>
      </c>
      <c r="E149" s="73">
        <v>0</v>
      </c>
      <c r="F149" s="1">
        <v>0</v>
      </c>
      <c r="G149" s="1">
        <v>0</v>
      </c>
      <c r="H149" s="70">
        <v>0</v>
      </c>
      <c r="I149" s="70">
        <v>0</v>
      </c>
    </row>
    <row r="150" spans="1:9">
      <c r="A150" s="71" t="s">
        <v>252</v>
      </c>
      <c r="B150" s="73">
        <v>47</v>
      </c>
      <c r="C150" s="73">
        <v>2</v>
      </c>
      <c r="D150" s="70">
        <v>8.17</v>
      </c>
      <c r="E150" s="73">
        <v>0</v>
      </c>
      <c r="F150" s="1">
        <v>4.2553191489361701E-2</v>
      </c>
      <c r="G150" s="1">
        <v>0</v>
      </c>
      <c r="H150" s="70">
        <v>0</v>
      </c>
      <c r="I150" s="70">
        <v>4.085</v>
      </c>
    </row>
    <row r="151" spans="1:9">
      <c r="A151" s="71" t="s">
        <v>363</v>
      </c>
      <c r="B151" s="73">
        <v>46</v>
      </c>
      <c r="C151" s="73">
        <v>2</v>
      </c>
      <c r="D151" s="70">
        <v>9.65</v>
      </c>
      <c r="E151" s="73">
        <v>0</v>
      </c>
      <c r="F151" s="1">
        <v>4.3478260869565216E-2</v>
      </c>
      <c r="G151" s="1">
        <v>0</v>
      </c>
      <c r="H151" s="70">
        <v>0</v>
      </c>
      <c r="I151" s="70">
        <v>4.8250000000000002</v>
      </c>
    </row>
    <row r="152" spans="1:9">
      <c r="A152" s="71" t="s">
        <v>101</v>
      </c>
      <c r="B152" s="73">
        <v>43</v>
      </c>
      <c r="C152" s="73">
        <v>1</v>
      </c>
      <c r="D152" s="70">
        <v>5.57</v>
      </c>
      <c r="E152" s="73">
        <v>0</v>
      </c>
      <c r="F152" s="1">
        <v>2.3255813953488372E-2</v>
      </c>
      <c r="G152" s="1">
        <v>0</v>
      </c>
      <c r="H152" s="70">
        <v>0</v>
      </c>
      <c r="I152" s="70">
        <v>5.57</v>
      </c>
    </row>
    <row r="153" spans="1:9">
      <c r="A153" s="71" t="s">
        <v>116</v>
      </c>
      <c r="B153" s="73">
        <v>43</v>
      </c>
      <c r="C153" s="73">
        <v>2</v>
      </c>
      <c r="D153" s="70">
        <v>7.72</v>
      </c>
      <c r="E153" s="73">
        <v>0</v>
      </c>
      <c r="F153" s="1">
        <v>4.6511627906976744E-2</v>
      </c>
      <c r="G153" s="1">
        <v>0</v>
      </c>
      <c r="H153" s="70">
        <v>0</v>
      </c>
      <c r="I153" s="70">
        <v>3.86</v>
      </c>
    </row>
    <row r="154" spans="1:9">
      <c r="A154" s="71" t="s">
        <v>289</v>
      </c>
      <c r="B154" s="73">
        <v>41</v>
      </c>
      <c r="C154" s="73">
        <v>0</v>
      </c>
      <c r="D154" s="70">
        <v>0</v>
      </c>
      <c r="E154" s="73">
        <v>0</v>
      </c>
      <c r="F154" s="1">
        <v>0</v>
      </c>
      <c r="G154" s="1">
        <v>0</v>
      </c>
      <c r="H154" s="70">
        <v>0</v>
      </c>
      <c r="I154" s="70">
        <v>0</v>
      </c>
    </row>
    <row r="155" spans="1:9">
      <c r="A155" s="71" t="s">
        <v>334</v>
      </c>
      <c r="B155" s="73">
        <v>40</v>
      </c>
      <c r="C155" s="73">
        <v>1</v>
      </c>
      <c r="D155" s="70">
        <v>2.8</v>
      </c>
      <c r="E155" s="73">
        <v>0</v>
      </c>
      <c r="F155" s="1">
        <v>2.5000000000000001E-2</v>
      </c>
      <c r="G155" s="1">
        <v>0</v>
      </c>
      <c r="H155" s="70">
        <v>0</v>
      </c>
      <c r="I155" s="70">
        <v>2.8</v>
      </c>
    </row>
    <row r="156" spans="1:9">
      <c r="A156" s="71" t="s">
        <v>294</v>
      </c>
      <c r="B156" s="73">
        <v>40</v>
      </c>
      <c r="C156" s="73">
        <v>2</v>
      </c>
      <c r="D156" s="70">
        <v>4.9400000000000004</v>
      </c>
      <c r="E156" s="73">
        <v>1</v>
      </c>
      <c r="F156" s="1">
        <v>0.05</v>
      </c>
      <c r="G156" s="1">
        <v>0.5</v>
      </c>
      <c r="H156" s="70">
        <v>4.9400000000000004</v>
      </c>
      <c r="I156" s="70">
        <v>2.4700000000000002</v>
      </c>
    </row>
    <row r="157" spans="1:9">
      <c r="A157" s="71" t="s">
        <v>332</v>
      </c>
      <c r="B157" s="73">
        <v>39</v>
      </c>
      <c r="C157" s="73">
        <v>1</v>
      </c>
      <c r="D157" s="70">
        <v>3.68</v>
      </c>
      <c r="E157" s="73">
        <v>0</v>
      </c>
      <c r="F157" s="1">
        <v>2.564102564102564E-2</v>
      </c>
      <c r="G157" s="1">
        <v>0</v>
      </c>
      <c r="H157" s="70">
        <v>0</v>
      </c>
      <c r="I157" s="70">
        <v>3.68</v>
      </c>
    </row>
    <row r="158" spans="1:9">
      <c r="A158" s="71" t="s">
        <v>187</v>
      </c>
      <c r="B158" s="73">
        <v>36</v>
      </c>
      <c r="C158" s="73">
        <v>0</v>
      </c>
      <c r="D158" s="70">
        <v>0</v>
      </c>
      <c r="E158" s="73">
        <v>0</v>
      </c>
      <c r="F158" s="1">
        <v>0</v>
      </c>
      <c r="G158" s="1">
        <v>0</v>
      </c>
      <c r="H158" s="70">
        <v>0</v>
      </c>
      <c r="I158" s="70">
        <v>0</v>
      </c>
    </row>
    <row r="159" spans="1:9">
      <c r="A159" s="71" t="s">
        <v>306</v>
      </c>
      <c r="B159" s="73">
        <v>35</v>
      </c>
      <c r="C159" s="73">
        <v>1</v>
      </c>
      <c r="D159" s="70">
        <v>3.55</v>
      </c>
      <c r="E159" s="73">
        <v>0</v>
      </c>
      <c r="F159" s="1">
        <v>2.8571428571428571E-2</v>
      </c>
      <c r="G159" s="1">
        <v>0</v>
      </c>
      <c r="H159" s="70">
        <v>0</v>
      </c>
      <c r="I159" s="70">
        <v>3.55</v>
      </c>
    </row>
    <row r="160" spans="1:9">
      <c r="A160" s="71" t="s">
        <v>301</v>
      </c>
      <c r="B160" s="73">
        <v>35</v>
      </c>
      <c r="C160" s="73">
        <v>1</v>
      </c>
      <c r="D160" s="70">
        <v>7.45</v>
      </c>
      <c r="E160" s="73">
        <v>0</v>
      </c>
      <c r="F160" s="1">
        <v>2.8571428571428571E-2</v>
      </c>
      <c r="G160" s="1">
        <v>0</v>
      </c>
      <c r="H160" s="70">
        <v>0</v>
      </c>
      <c r="I160" s="70">
        <v>7.45</v>
      </c>
    </row>
    <row r="161" spans="1:9">
      <c r="A161" s="71" t="s">
        <v>333</v>
      </c>
      <c r="B161" s="73">
        <v>33</v>
      </c>
      <c r="C161" s="73">
        <v>1</v>
      </c>
      <c r="D161" s="70">
        <v>2.4</v>
      </c>
      <c r="E161" s="73">
        <v>0</v>
      </c>
      <c r="F161" s="1">
        <v>3.0303030303030304E-2</v>
      </c>
      <c r="G161" s="1">
        <v>0</v>
      </c>
      <c r="H161" s="70">
        <v>0</v>
      </c>
      <c r="I161" s="70">
        <v>2.4</v>
      </c>
    </row>
    <row r="162" spans="1:9">
      <c r="A162" s="71" t="s">
        <v>140</v>
      </c>
      <c r="B162" s="73">
        <v>27</v>
      </c>
      <c r="C162" s="73">
        <v>2</v>
      </c>
      <c r="D162" s="70">
        <v>5.3</v>
      </c>
      <c r="E162" s="73">
        <v>0</v>
      </c>
      <c r="F162" s="1">
        <v>7.407407407407407E-2</v>
      </c>
      <c r="G162" s="1">
        <v>0</v>
      </c>
      <c r="H162" s="70">
        <v>0</v>
      </c>
      <c r="I162" s="70">
        <v>2.65</v>
      </c>
    </row>
    <row r="163" spans="1:9">
      <c r="A163" s="71" t="s">
        <v>262</v>
      </c>
      <c r="B163" s="73">
        <v>20</v>
      </c>
      <c r="C163" s="73">
        <v>0</v>
      </c>
      <c r="D163" s="70">
        <v>0</v>
      </c>
      <c r="E163" s="73">
        <v>0</v>
      </c>
      <c r="F163" s="1">
        <v>0</v>
      </c>
      <c r="G163" s="1">
        <v>0</v>
      </c>
      <c r="H163" s="70">
        <v>0</v>
      </c>
      <c r="I163" s="70">
        <v>0</v>
      </c>
    </row>
    <row r="164" spans="1:9">
      <c r="A164" s="71" t="s">
        <v>215</v>
      </c>
      <c r="B164" s="73">
        <v>19</v>
      </c>
      <c r="C164" s="73">
        <v>1</v>
      </c>
      <c r="D164" s="70">
        <v>6.66</v>
      </c>
      <c r="E164" s="73">
        <v>0</v>
      </c>
      <c r="F164" s="1">
        <v>5.2631578947368418E-2</v>
      </c>
      <c r="G164" s="1">
        <v>0</v>
      </c>
      <c r="H164" s="70">
        <v>0</v>
      </c>
      <c r="I164" s="70">
        <v>6.66</v>
      </c>
    </row>
    <row r="165" spans="1:9">
      <c r="A165" s="71" t="s">
        <v>202</v>
      </c>
      <c r="B165" s="73">
        <v>17</v>
      </c>
      <c r="C165" s="73">
        <v>0</v>
      </c>
      <c r="D165" s="70">
        <v>0</v>
      </c>
      <c r="E165" s="73">
        <v>0</v>
      </c>
      <c r="F165" s="1">
        <v>0</v>
      </c>
      <c r="G165" s="1">
        <v>0</v>
      </c>
      <c r="H165" s="70">
        <v>0</v>
      </c>
      <c r="I165" s="70">
        <v>0</v>
      </c>
    </row>
    <row r="166" spans="1:9">
      <c r="A166" s="71" t="s">
        <v>328</v>
      </c>
      <c r="B166" s="73">
        <v>16</v>
      </c>
      <c r="C166" s="73">
        <v>1</v>
      </c>
      <c r="D166" s="70">
        <v>12.53</v>
      </c>
      <c r="E166" s="73">
        <v>2</v>
      </c>
      <c r="F166" s="1">
        <v>6.25E-2</v>
      </c>
      <c r="G166" s="1">
        <v>2</v>
      </c>
      <c r="H166" s="70">
        <v>6.2649999999999997</v>
      </c>
      <c r="I166" s="70">
        <v>12.53</v>
      </c>
    </row>
    <row r="167" spans="1:9">
      <c r="A167" s="71" t="s">
        <v>148</v>
      </c>
      <c r="B167" s="73">
        <v>14</v>
      </c>
      <c r="C167" s="73">
        <v>0</v>
      </c>
      <c r="D167" s="70">
        <v>0</v>
      </c>
      <c r="E167" s="73">
        <v>0</v>
      </c>
      <c r="F167" s="1">
        <v>0</v>
      </c>
      <c r="G167" s="1">
        <v>0</v>
      </c>
      <c r="H167" s="70">
        <v>0</v>
      </c>
      <c r="I167" s="70">
        <v>0</v>
      </c>
    </row>
    <row r="168" spans="1:9">
      <c r="A168" s="71" t="s">
        <v>96</v>
      </c>
      <c r="B168" s="73">
        <v>14</v>
      </c>
      <c r="C168" s="73">
        <v>0</v>
      </c>
      <c r="D168" s="70">
        <v>0</v>
      </c>
      <c r="E168" s="73">
        <v>0</v>
      </c>
      <c r="F168" s="1">
        <v>0</v>
      </c>
      <c r="G168" s="1">
        <v>0</v>
      </c>
      <c r="H168" s="70">
        <v>0</v>
      </c>
      <c r="I168" s="70">
        <v>0</v>
      </c>
    </row>
    <row r="169" spans="1:9">
      <c r="A169" s="71" t="s">
        <v>150</v>
      </c>
      <c r="B169" s="73">
        <v>14</v>
      </c>
      <c r="C169" s="73">
        <v>0</v>
      </c>
      <c r="D169" s="70">
        <v>0</v>
      </c>
      <c r="E169" s="73">
        <v>0</v>
      </c>
      <c r="F169" s="1">
        <v>0</v>
      </c>
      <c r="G169" s="1">
        <v>0</v>
      </c>
      <c r="H169" s="70">
        <v>0</v>
      </c>
      <c r="I169" s="70">
        <v>0</v>
      </c>
    </row>
    <row r="170" spans="1:9">
      <c r="A170" s="71" t="s">
        <v>258</v>
      </c>
      <c r="B170" s="73">
        <v>12</v>
      </c>
      <c r="C170" s="73">
        <v>0</v>
      </c>
      <c r="D170" s="70">
        <v>0</v>
      </c>
      <c r="E170" s="73">
        <v>0</v>
      </c>
      <c r="F170" s="1">
        <v>0</v>
      </c>
      <c r="G170" s="1">
        <v>0</v>
      </c>
      <c r="H170" s="70">
        <v>0</v>
      </c>
      <c r="I170" s="70">
        <v>0</v>
      </c>
    </row>
    <row r="171" spans="1:9">
      <c r="A171" s="71" t="s">
        <v>127</v>
      </c>
      <c r="B171" s="73">
        <v>12</v>
      </c>
      <c r="C171" s="73">
        <v>0</v>
      </c>
      <c r="D171" s="70">
        <v>0</v>
      </c>
      <c r="E171" s="73">
        <v>0</v>
      </c>
      <c r="F171" s="1">
        <v>0</v>
      </c>
      <c r="G171" s="1">
        <v>0</v>
      </c>
      <c r="H171" s="70">
        <v>0</v>
      </c>
      <c r="I171" s="70">
        <v>0</v>
      </c>
    </row>
    <row r="172" spans="1:9">
      <c r="A172" s="71" t="s">
        <v>227</v>
      </c>
      <c r="B172" s="73">
        <v>11</v>
      </c>
      <c r="C172" s="73">
        <v>0</v>
      </c>
      <c r="D172" s="70">
        <v>0</v>
      </c>
      <c r="E172" s="73">
        <v>0</v>
      </c>
      <c r="F172" s="1">
        <v>0</v>
      </c>
      <c r="G172" s="1">
        <v>0</v>
      </c>
      <c r="H172" s="70">
        <v>0</v>
      </c>
      <c r="I172" s="70">
        <v>0</v>
      </c>
    </row>
    <row r="173" spans="1:9">
      <c r="A173" s="38" t="s">
        <v>82</v>
      </c>
      <c r="B173" s="73">
        <v>43</v>
      </c>
      <c r="C173" s="73">
        <v>4</v>
      </c>
      <c r="D173" s="70">
        <v>18.87</v>
      </c>
      <c r="E173" s="73">
        <v>0</v>
      </c>
      <c r="F173" s="1">
        <v>9.3023255813953487E-2</v>
      </c>
      <c r="G173" s="1">
        <v>0</v>
      </c>
      <c r="H173" s="70">
        <v>0</v>
      </c>
      <c r="I173" s="70">
        <v>4.7175000000000002</v>
      </c>
    </row>
    <row r="174" spans="1:9">
      <c r="A174" s="71" t="s">
        <v>255</v>
      </c>
      <c r="B174" s="73">
        <v>23</v>
      </c>
      <c r="C174" s="73">
        <v>1</v>
      </c>
      <c r="D174" s="70">
        <v>5.31</v>
      </c>
      <c r="E174" s="73">
        <v>0</v>
      </c>
      <c r="F174" s="1">
        <v>4.3478260869565216E-2</v>
      </c>
      <c r="G174" s="1">
        <v>0</v>
      </c>
      <c r="H174" s="70">
        <v>0</v>
      </c>
      <c r="I174" s="70">
        <v>5.31</v>
      </c>
    </row>
    <row r="175" spans="1:9">
      <c r="A175" s="71" t="s">
        <v>344</v>
      </c>
      <c r="B175" s="73">
        <v>20</v>
      </c>
      <c r="C175" s="73">
        <v>3</v>
      </c>
      <c r="D175" s="70">
        <v>13.56</v>
      </c>
      <c r="E175" s="73">
        <v>0</v>
      </c>
      <c r="F175" s="1">
        <v>0.15</v>
      </c>
      <c r="G175" s="1">
        <v>0</v>
      </c>
      <c r="H175" s="70">
        <v>0</v>
      </c>
      <c r="I175" s="70">
        <v>4.5200000000000005</v>
      </c>
    </row>
    <row r="176" spans="1:9">
      <c r="A176" s="38" t="s">
        <v>79</v>
      </c>
      <c r="B176" s="73">
        <v>23</v>
      </c>
      <c r="C176" s="73">
        <v>2</v>
      </c>
      <c r="D176" s="70">
        <v>8.32</v>
      </c>
      <c r="E176" s="73">
        <v>0</v>
      </c>
      <c r="F176" s="1">
        <v>8.6956521739130432E-2</v>
      </c>
      <c r="G176" s="1">
        <v>0</v>
      </c>
      <c r="H176" s="70">
        <v>0</v>
      </c>
      <c r="I176" s="70">
        <v>4.16</v>
      </c>
    </row>
    <row r="177" spans="1:9">
      <c r="A177" s="71" t="s">
        <v>225</v>
      </c>
      <c r="B177" s="73">
        <v>23</v>
      </c>
      <c r="C177" s="73">
        <v>2</v>
      </c>
      <c r="D177" s="70">
        <v>8.32</v>
      </c>
      <c r="E177" s="73">
        <v>0</v>
      </c>
      <c r="F177" s="1">
        <v>8.6956521739130432E-2</v>
      </c>
      <c r="G177" s="1">
        <v>0</v>
      </c>
      <c r="H177" s="70">
        <v>0</v>
      </c>
      <c r="I177" s="70">
        <v>4.16</v>
      </c>
    </row>
    <row r="178" spans="1:9">
      <c r="A178" s="8" t="s">
        <v>63</v>
      </c>
      <c r="B178" s="73">
        <v>1423</v>
      </c>
      <c r="C178" s="73">
        <v>98</v>
      </c>
      <c r="D178" s="70">
        <v>280.55</v>
      </c>
      <c r="E178" s="73">
        <v>6</v>
      </c>
      <c r="F178" s="1">
        <v>6.8868587491215744E-2</v>
      </c>
      <c r="G178" s="1">
        <v>6.1224489795918366E-2</v>
      </c>
      <c r="H178" s="70">
        <v>46.758333333333333</v>
      </c>
      <c r="I178" s="70">
        <v>2.8627551020408166</v>
      </c>
    </row>
    <row r="179" spans="1:9">
      <c r="A179" s="38" t="s">
        <v>75</v>
      </c>
      <c r="B179" s="73">
        <v>1423</v>
      </c>
      <c r="C179" s="73">
        <v>98</v>
      </c>
      <c r="D179" s="70">
        <v>280.55</v>
      </c>
      <c r="E179" s="73">
        <v>6</v>
      </c>
      <c r="F179" s="1">
        <v>6.8868587491215744E-2</v>
      </c>
      <c r="G179" s="1">
        <v>6.1224489795918366E-2</v>
      </c>
      <c r="H179" s="70">
        <v>46.758333333333333</v>
      </c>
      <c r="I179" s="70">
        <v>2.8627551020408166</v>
      </c>
    </row>
    <row r="180" spans="1:9">
      <c r="A180" s="71" t="s">
        <v>323</v>
      </c>
      <c r="B180" s="73">
        <v>366</v>
      </c>
      <c r="C180" s="73">
        <v>30</v>
      </c>
      <c r="D180" s="70">
        <v>63.75</v>
      </c>
      <c r="E180" s="73">
        <v>3</v>
      </c>
      <c r="F180" s="1">
        <v>8.1967213114754092E-2</v>
      </c>
      <c r="G180" s="1">
        <v>0.1</v>
      </c>
      <c r="H180" s="70">
        <v>21.25</v>
      </c>
      <c r="I180" s="70">
        <v>2.125</v>
      </c>
    </row>
    <row r="181" spans="1:9">
      <c r="A181" s="71" t="s">
        <v>357</v>
      </c>
      <c r="B181" s="73">
        <v>176</v>
      </c>
      <c r="C181" s="73">
        <v>12</v>
      </c>
      <c r="D181" s="70">
        <v>45.52</v>
      </c>
      <c r="E181" s="73">
        <v>0</v>
      </c>
      <c r="F181" s="1">
        <v>6.8181818181818177E-2</v>
      </c>
      <c r="G181" s="1">
        <v>0</v>
      </c>
      <c r="H181" s="70">
        <v>0</v>
      </c>
      <c r="I181" s="70">
        <v>3.7933333333333334</v>
      </c>
    </row>
    <row r="182" spans="1:9">
      <c r="A182" s="71" t="s">
        <v>221</v>
      </c>
      <c r="B182" s="73">
        <v>155</v>
      </c>
      <c r="C182" s="73">
        <v>14</v>
      </c>
      <c r="D182" s="70">
        <v>40.36</v>
      </c>
      <c r="E182" s="73">
        <v>1</v>
      </c>
      <c r="F182" s="1">
        <v>9.0322580645161285E-2</v>
      </c>
      <c r="G182" s="1">
        <v>7.1428571428571425E-2</v>
      </c>
      <c r="H182" s="70">
        <v>40.36</v>
      </c>
      <c r="I182" s="70">
        <v>2.882857142857143</v>
      </c>
    </row>
    <row r="183" spans="1:9">
      <c r="A183" s="71" t="s">
        <v>325</v>
      </c>
      <c r="B183" s="73">
        <v>149</v>
      </c>
      <c r="C183" s="73">
        <v>10</v>
      </c>
      <c r="D183" s="70">
        <v>30.62</v>
      </c>
      <c r="E183" s="73">
        <v>0</v>
      </c>
      <c r="F183" s="1">
        <v>6.7114093959731544E-2</v>
      </c>
      <c r="G183" s="1">
        <v>0</v>
      </c>
      <c r="H183" s="70">
        <v>0</v>
      </c>
      <c r="I183" s="70">
        <v>3.0620000000000003</v>
      </c>
    </row>
    <row r="184" spans="1:9">
      <c r="A184" s="71" t="s">
        <v>238</v>
      </c>
      <c r="B184" s="73">
        <v>118</v>
      </c>
      <c r="C184" s="73">
        <v>7</v>
      </c>
      <c r="D184" s="70">
        <v>26.05</v>
      </c>
      <c r="E184" s="73">
        <v>1</v>
      </c>
      <c r="F184" s="1">
        <v>5.9322033898305086E-2</v>
      </c>
      <c r="G184" s="1">
        <v>0.14285714285714285</v>
      </c>
      <c r="H184" s="70">
        <v>26.05</v>
      </c>
      <c r="I184" s="70">
        <v>3.7214285714285715</v>
      </c>
    </row>
    <row r="185" spans="1:9">
      <c r="A185" s="71" t="s">
        <v>283</v>
      </c>
      <c r="B185" s="73">
        <v>116</v>
      </c>
      <c r="C185" s="73">
        <v>4</v>
      </c>
      <c r="D185" s="70">
        <v>12.5</v>
      </c>
      <c r="E185" s="73">
        <v>1</v>
      </c>
      <c r="F185" s="1">
        <v>3.4482758620689655E-2</v>
      </c>
      <c r="G185" s="1">
        <v>0.25</v>
      </c>
      <c r="H185" s="70">
        <v>12.5</v>
      </c>
      <c r="I185" s="70">
        <v>3.125</v>
      </c>
    </row>
    <row r="186" spans="1:9">
      <c r="A186" s="71" t="s">
        <v>310</v>
      </c>
      <c r="B186" s="73">
        <v>104</v>
      </c>
      <c r="C186" s="73">
        <v>5</v>
      </c>
      <c r="D186" s="70">
        <v>13.84</v>
      </c>
      <c r="E186" s="73">
        <v>0</v>
      </c>
      <c r="F186" s="1">
        <v>4.807692307692308E-2</v>
      </c>
      <c r="G186" s="1">
        <v>0</v>
      </c>
      <c r="H186" s="70">
        <v>0</v>
      </c>
      <c r="I186" s="70">
        <v>2.7679999999999998</v>
      </c>
    </row>
    <row r="187" spans="1:9">
      <c r="A187" s="71" t="s">
        <v>303</v>
      </c>
      <c r="B187" s="73">
        <v>97</v>
      </c>
      <c r="C187" s="73">
        <v>7</v>
      </c>
      <c r="D187" s="70">
        <v>24.43</v>
      </c>
      <c r="E187" s="73">
        <v>0</v>
      </c>
      <c r="F187" s="1">
        <v>7.2164948453608241E-2</v>
      </c>
      <c r="G187" s="1">
        <v>0</v>
      </c>
      <c r="H187" s="70">
        <v>0</v>
      </c>
      <c r="I187" s="70">
        <v>3.4899999999999998</v>
      </c>
    </row>
    <row r="188" spans="1:9">
      <c r="A188" s="71" t="s">
        <v>233</v>
      </c>
      <c r="B188" s="73">
        <v>44</v>
      </c>
      <c r="C188" s="73">
        <v>2</v>
      </c>
      <c r="D188" s="70">
        <v>9.2200000000000006</v>
      </c>
      <c r="E188" s="73">
        <v>0</v>
      </c>
      <c r="F188" s="1">
        <v>4.5454545454545456E-2</v>
      </c>
      <c r="G188" s="1">
        <v>0</v>
      </c>
      <c r="H188" s="70">
        <v>0</v>
      </c>
      <c r="I188" s="70">
        <v>4.6100000000000003</v>
      </c>
    </row>
    <row r="189" spans="1:9">
      <c r="A189" s="71" t="s">
        <v>294</v>
      </c>
      <c r="B189" s="73">
        <v>35</v>
      </c>
      <c r="C189" s="73">
        <v>5</v>
      </c>
      <c r="D189" s="70">
        <v>9.56</v>
      </c>
      <c r="E189" s="73">
        <v>0</v>
      </c>
      <c r="F189" s="1">
        <v>0.14285714285714285</v>
      </c>
      <c r="G189" s="1">
        <v>0</v>
      </c>
      <c r="H189" s="70">
        <v>0</v>
      </c>
      <c r="I189" s="70">
        <v>1.9120000000000001</v>
      </c>
    </row>
    <row r="190" spans="1:9">
      <c r="A190" s="71" t="s">
        <v>363</v>
      </c>
      <c r="B190" s="73">
        <v>23</v>
      </c>
      <c r="C190" s="73">
        <v>0</v>
      </c>
      <c r="D190" s="70">
        <v>0</v>
      </c>
      <c r="E190" s="73">
        <v>0</v>
      </c>
      <c r="F190" s="1">
        <v>0</v>
      </c>
      <c r="G190" s="1">
        <v>0</v>
      </c>
      <c r="H190" s="70">
        <v>0</v>
      </c>
      <c r="I190" s="70">
        <v>0</v>
      </c>
    </row>
    <row r="191" spans="1:9">
      <c r="A191" s="71" t="s">
        <v>187</v>
      </c>
      <c r="B191" s="73">
        <v>18</v>
      </c>
      <c r="C191" s="73">
        <v>1</v>
      </c>
      <c r="D191" s="70">
        <v>1.18</v>
      </c>
      <c r="E191" s="73">
        <v>0</v>
      </c>
      <c r="F191" s="1">
        <v>5.5555555555555552E-2</v>
      </c>
      <c r="G191" s="1">
        <v>0</v>
      </c>
      <c r="H191" s="70">
        <v>0</v>
      </c>
      <c r="I191" s="70">
        <v>1.18</v>
      </c>
    </row>
    <row r="192" spans="1:9">
      <c r="A192" s="71" t="s">
        <v>191</v>
      </c>
      <c r="B192" s="73">
        <v>12</v>
      </c>
      <c r="C192" s="73">
        <v>1</v>
      </c>
      <c r="D192" s="70">
        <v>3.52</v>
      </c>
      <c r="E192" s="73">
        <v>0</v>
      </c>
      <c r="F192" s="1">
        <v>8.3333333333333329E-2</v>
      </c>
      <c r="G192" s="1">
        <v>0</v>
      </c>
      <c r="H192" s="70">
        <v>0</v>
      </c>
      <c r="I192" s="70">
        <v>3.52</v>
      </c>
    </row>
    <row r="193" spans="1:9">
      <c r="A193" s="71" t="s">
        <v>306</v>
      </c>
      <c r="B193" s="73">
        <v>10</v>
      </c>
      <c r="C193" s="73">
        <v>0</v>
      </c>
      <c r="D193" s="70">
        <v>0</v>
      </c>
      <c r="E193" s="73">
        <v>0</v>
      </c>
      <c r="F193" s="1">
        <v>0</v>
      </c>
      <c r="G193" s="1">
        <v>0</v>
      </c>
      <c r="H193" s="70">
        <v>0</v>
      </c>
      <c r="I193" s="70">
        <v>0</v>
      </c>
    </row>
    <row r="194" spans="1:9">
      <c r="A194" s="8" t="s">
        <v>24</v>
      </c>
      <c r="B194" s="73">
        <v>20130</v>
      </c>
      <c r="C194" s="73">
        <v>467</v>
      </c>
      <c r="D194" s="70">
        <v>1203.3500000000001</v>
      </c>
      <c r="E194" s="73">
        <v>36</v>
      </c>
      <c r="F194" s="1">
        <v>2.3199205166418282E-2</v>
      </c>
      <c r="G194" s="1">
        <v>7.7087794432548179E-2</v>
      </c>
      <c r="H194" s="70">
        <v>33.426388888888894</v>
      </c>
      <c r="I194" s="70">
        <v>2.5767665952890795</v>
      </c>
    </row>
    <row r="195" spans="1:9">
      <c r="A195" s="38" t="s">
        <v>75</v>
      </c>
      <c r="B195" s="73">
        <v>18926</v>
      </c>
      <c r="C195" s="73">
        <v>440</v>
      </c>
      <c r="D195" s="70">
        <v>1134.1899999999998</v>
      </c>
      <c r="E195" s="73">
        <v>30</v>
      </c>
      <c r="F195" s="1">
        <v>2.3248441297685725E-2</v>
      </c>
      <c r="G195" s="1">
        <v>6.8181818181818177E-2</v>
      </c>
      <c r="H195" s="70">
        <v>37.806333333333328</v>
      </c>
      <c r="I195" s="70">
        <v>2.5777045454545449</v>
      </c>
    </row>
    <row r="196" spans="1:9">
      <c r="A196" s="71" t="s">
        <v>436</v>
      </c>
      <c r="B196" s="73">
        <v>4231</v>
      </c>
      <c r="C196" s="73">
        <v>133</v>
      </c>
      <c r="D196" s="70">
        <v>359.96</v>
      </c>
      <c r="E196" s="73">
        <v>7.67</v>
      </c>
      <c r="F196" s="1">
        <v>3.143464901914441E-2</v>
      </c>
      <c r="G196" s="1">
        <v>5.7669172932330828E-2</v>
      </c>
      <c r="H196" s="70">
        <v>46.930899608865708</v>
      </c>
      <c r="I196" s="70">
        <v>2.7064661654135338</v>
      </c>
    </row>
    <row r="197" spans="1:9">
      <c r="A197" s="71" t="s">
        <v>438</v>
      </c>
      <c r="B197" s="73">
        <v>4176</v>
      </c>
      <c r="C197" s="73">
        <v>48</v>
      </c>
      <c r="D197" s="70">
        <v>110.57</v>
      </c>
      <c r="E197" s="73">
        <v>2</v>
      </c>
      <c r="F197" s="1">
        <v>1.1494252873563218E-2</v>
      </c>
      <c r="G197" s="1">
        <v>4.1666666666666664E-2</v>
      </c>
      <c r="H197" s="70">
        <v>55.284999999999997</v>
      </c>
      <c r="I197" s="70">
        <v>2.3035416666666664</v>
      </c>
    </row>
    <row r="198" spans="1:9">
      <c r="A198" s="71" t="s">
        <v>395</v>
      </c>
      <c r="B198" s="73">
        <v>2749</v>
      </c>
      <c r="C198" s="73">
        <v>78</v>
      </c>
      <c r="D198" s="70">
        <v>211.21</v>
      </c>
      <c r="E198" s="73">
        <v>4.33</v>
      </c>
      <c r="F198" s="1">
        <v>2.8373954165150966E-2</v>
      </c>
      <c r="G198" s="1">
        <v>5.5512820512820513E-2</v>
      </c>
      <c r="H198" s="70">
        <v>48.778290993071593</v>
      </c>
      <c r="I198" s="70">
        <v>2.7078205128205131</v>
      </c>
    </row>
    <row r="199" spans="1:9">
      <c r="A199" s="71" t="s">
        <v>440</v>
      </c>
      <c r="B199" s="73">
        <v>2204</v>
      </c>
      <c r="C199" s="73">
        <v>40</v>
      </c>
      <c r="D199" s="70">
        <v>83.56</v>
      </c>
      <c r="E199" s="73">
        <v>3</v>
      </c>
      <c r="F199" s="1">
        <v>1.8148820326678767E-2</v>
      </c>
      <c r="G199" s="1">
        <v>7.4999999999999997E-2</v>
      </c>
      <c r="H199" s="70">
        <v>27.853333333333335</v>
      </c>
      <c r="I199" s="70">
        <v>2.089</v>
      </c>
    </row>
    <row r="200" spans="1:9">
      <c r="A200" s="71" t="s">
        <v>454</v>
      </c>
      <c r="B200" s="73">
        <v>1984</v>
      </c>
      <c r="C200" s="73">
        <v>32</v>
      </c>
      <c r="D200" s="70">
        <v>62.92</v>
      </c>
      <c r="E200" s="73">
        <v>1</v>
      </c>
      <c r="F200" s="1">
        <v>1.6129032258064516E-2</v>
      </c>
      <c r="G200" s="1">
        <v>3.125E-2</v>
      </c>
      <c r="H200" s="70">
        <v>62.92</v>
      </c>
      <c r="I200" s="70">
        <v>1.9662500000000001</v>
      </c>
    </row>
    <row r="201" spans="1:9">
      <c r="A201" s="71" t="s">
        <v>377</v>
      </c>
      <c r="B201" s="73">
        <v>1730</v>
      </c>
      <c r="C201" s="73">
        <v>53</v>
      </c>
      <c r="D201" s="70">
        <v>139.85</v>
      </c>
      <c r="E201" s="73">
        <v>7</v>
      </c>
      <c r="F201" s="1">
        <v>3.0635838150289016E-2</v>
      </c>
      <c r="G201" s="1">
        <v>0.13207547169811321</v>
      </c>
      <c r="H201" s="70">
        <v>19.978571428571428</v>
      </c>
      <c r="I201" s="70">
        <v>2.6386792452830186</v>
      </c>
    </row>
    <row r="202" spans="1:9">
      <c r="A202" s="71" t="s">
        <v>406</v>
      </c>
      <c r="B202" s="73">
        <v>602</v>
      </c>
      <c r="C202" s="73">
        <v>6</v>
      </c>
      <c r="D202" s="70">
        <v>10.99</v>
      </c>
      <c r="E202" s="73">
        <v>2</v>
      </c>
      <c r="F202" s="1">
        <v>9.9667774086378731E-3</v>
      </c>
      <c r="G202" s="1">
        <v>0.33333333333333331</v>
      </c>
      <c r="H202" s="70">
        <v>5.4950000000000001</v>
      </c>
      <c r="I202" s="70">
        <v>1.8316666666666668</v>
      </c>
    </row>
    <row r="203" spans="1:9">
      <c r="A203" s="71" t="s">
        <v>388</v>
      </c>
      <c r="B203" s="73">
        <v>546</v>
      </c>
      <c r="C203" s="73">
        <v>19</v>
      </c>
      <c r="D203" s="70">
        <v>57.27</v>
      </c>
      <c r="E203" s="73">
        <v>2</v>
      </c>
      <c r="F203" s="1">
        <v>3.47985347985348E-2</v>
      </c>
      <c r="G203" s="1">
        <v>0.10526315789473684</v>
      </c>
      <c r="H203" s="70">
        <v>28.635000000000002</v>
      </c>
      <c r="I203" s="70">
        <v>3.0142105263157895</v>
      </c>
    </row>
    <row r="204" spans="1:9">
      <c r="A204" s="71" t="s">
        <v>450</v>
      </c>
      <c r="B204" s="73">
        <v>364</v>
      </c>
      <c r="C204" s="73">
        <v>9</v>
      </c>
      <c r="D204" s="70">
        <v>37.369999999999997</v>
      </c>
      <c r="E204" s="73">
        <v>0</v>
      </c>
      <c r="F204" s="1">
        <v>2.4725274725274724E-2</v>
      </c>
      <c r="G204" s="1">
        <v>0</v>
      </c>
      <c r="H204" s="70">
        <v>0</v>
      </c>
      <c r="I204" s="70">
        <v>4.152222222222222</v>
      </c>
    </row>
    <row r="205" spans="1:9">
      <c r="A205" s="71" t="s">
        <v>423</v>
      </c>
      <c r="B205" s="73">
        <v>244</v>
      </c>
      <c r="C205" s="73">
        <v>17</v>
      </c>
      <c r="D205" s="70">
        <v>47.15</v>
      </c>
      <c r="E205" s="73">
        <v>1</v>
      </c>
      <c r="F205" s="1">
        <v>6.9672131147540978E-2</v>
      </c>
      <c r="G205" s="1">
        <v>5.8823529411764705E-2</v>
      </c>
      <c r="H205" s="70">
        <v>47.15</v>
      </c>
      <c r="I205" s="70">
        <v>2.7735294117647058</v>
      </c>
    </row>
    <row r="206" spans="1:9">
      <c r="A206" s="71" t="s">
        <v>441</v>
      </c>
      <c r="B206" s="73">
        <v>44</v>
      </c>
      <c r="C206" s="73">
        <v>5</v>
      </c>
      <c r="D206" s="70">
        <v>13.34</v>
      </c>
      <c r="E206" s="73">
        <v>0</v>
      </c>
      <c r="F206" s="1">
        <v>0.11363636363636363</v>
      </c>
      <c r="G206" s="1">
        <v>0</v>
      </c>
      <c r="H206" s="70">
        <v>0</v>
      </c>
      <c r="I206" s="70">
        <v>2.6680000000000001</v>
      </c>
    </row>
    <row r="207" spans="1:9">
      <c r="A207" s="71" t="s">
        <v>400</v>
      </c>
      <c r="B207" s="73">
        <v>28</v>
      </c>
      <c r="C207" s="73">
        <v>0</v>
      </c>
      <c r="D207" s="70">
        <v>0</v>
      </c>
      <c r="E207" s="73">
        <v>0</v>
      </c>
      <c r="F207" s="1">
        <v>0</v>
      </c>
      <c r="G207" s="1">
        <v>0</v>
      </c>
      <c r="H207" s="70">
        <v>0</v>
      </c>
      <c r="I207" s="70">
        <v>0</v>
      </c>
    </row>
    <row r="208" spans="1:9">
      <c r="A208" s="71" t="s">
        <v>374</v>
      </c>
      <c r="B208" s="73">
        <v>14</v>
      </c>
      <c r="C208" s="73">
        <v>0</v>
      </c>
      <c r="D208" s="70">
        <v>0</v>
      </c>
      <c r="E208" s="73">
        <v>0</v>
      </c>
      <c r="F208" s="1">
        <v>0</v>
      </c>
      <c r="G208" s="1">
        <v>0</v>
      </c>
      <c r="H208" s="70">
        <v>0</v>
      </c>
      <c r="I208" s="70">
        <v>0</v>
      </c>
    </row>
    <row r="209" spans="1:9">
      <c r="A209" s="71" t="s">
        <v>394</v>
      </c>
      <c r="B209" s="73">
        <v>10</v>
      </c>
      <c r="C209" s="73">
        <v>0</v>
      </c>
      <c r="D209" s="70">
        <v>0</v>
      </c>
      <c r="E209" s="73">
        <v>0</v>
      </c>
      <c r="F209" s="1">
        <v>0</v>
      </c>
      <c r="G209" s="1">
        <v>0</v>
      </c>
      <c r="H209" s="70">
        <v>0</v>
      </c>
      <c r="I209" s="70">
        <v>0</v>
      </c>
    </row>
    <row r="210" spans="1:9">
      <c r="A210" s="38" t="s">
        <v>82</v>
      </c>
      <c r="B210" s="73">
        <v>736</v>
      </c>
      <c r="C210" s="73">
        <v>15</v>
      </c>
      <c r="D210" s="70">
        <v>35.809999999999995</v>
      </c>
      <c r="E210" s="73">
        <v>6</v>
      </c>
      <c r="F210" s="1">
        <v>2.0380434782608696E-2</v>
      </c>
      <c r="G210" s="1">
        <v>0.4</v>
      </c>
      <c r="H210" s="70">
        <v>5.9683333333333328</v>
      </c>
      <c r="I210" s="70">
        <v>2.3873333333333329</v>
      </c>
    </row>
    <row r="211" spans="1:9">
      <c r="A211" s="71" t="s">
        <v>444</v>
      </c>
      <c r="B211" s="73">
        <v>426</v>
      </c>
      <c r="C211" s="73">
        <v>7</v>
      </c>
      <c r="D211" s="70">
        <v>17.45</v>
      </c>
      <c r="E211" s="73">
        <v>3</v>
      </c>
      <c r="F211" s="1">
        <v>1.6431924882629109E-2</v>
      </c>
      <c r="G211" s="1">
        <v>0.42857142857142855</v>
      </c>
      <c r="H211" s="70">
        <v>5.8166666666666664</v>
      </c>
      <c r="I211" s="70">
        <v>2.4928571428571429</v>
      </c>
    </row>
    <row r="212" spans="1:9">
      <c r="A212" s="71" t="s">
        <v>445</v>
      </c>
      <c r="B212" s="73">
        <v>146</v>
      </c>
      <c r="C212" s="73">
        <v>2</v>
      </c>
      <c r="D212" s="70">
        <v>5.39</v>
      </c>
      <c r="E212" s="73">
        <v>0</v>
      </c>
      <c r="F212" s="1">
        <v>1.3698630136986301E-2</v>
      </c>
      <c r="G212" s="1">
        <v>0</v>
      </c>
      <c r="H212" s="70">
        <v>0</v>
      </c>
      <c r="I212" s="70">
        <v>2.6949999999999998</v>
      </c>
    </row>
    <row r="213" spans="1:9">
      <c r="A213" s="71" t="s">
        <v>433</v>
      </c>
      <c r="B213" s="73">
        <v>47</v>
      </c>
      <c r="C213" s="73">
        <v>1</v>
      </c>
      <c r="D213" s="70">
        <v>2.58</v>
      </c>
      <c r="E213" s="73">
        <v>0</v>
      </c>
      <c r="F213" s="1">
        <v>2.1276595744680851E-2</v>
      </c>
      <c r="G213" s="1">
        <v>0</v>
      </c>
      <c r="H213" s="70">
        <v>0</v>
      </c>
      <c r="I213" s="70">
        <v>2.58</v>
      </c>
    </row>
    <row r="214" spans="1:9">
      <c r="A214" s="71" t="s">
        <v>434</v>
      </c>
      <c r="B214" s="73">
        <v>27</v>
      </c>
      <c r="C214" s="73">
        <v>2</v>
      </c>
      <c r="D214" s="70">
        <v>3.66</v>
      </c>
      <c r="E214" s="73">
        <v>2</v>
      </c>
      <c r="F214" s="1">
        <v>7.407407407407407E-2</v>
      </c>
      <c r="G214" s="1">
        <v>1</v>
      </c>
      <c r="H214" s="70">
        <v>1.83</v>
      </c>
      <c r="I214" s="70">
        <v>1.83</v>
      </c>
    </row>
    <row r="215" spans="1:9">
      <c r="A215" s="71" t="s">
        <v>452</v>
      </c>
      <c r="B215" s="73">
        <v>23</v>
      </c>
      <c r="C215" s="73">
        <v>0</v>
      </c>
      <c r="D215" s="70">
        <v>0</v>
      </c>
      <c r="E215" s="73">
        <v>0</v>
      </c>
      <c r="F215" s="1">
        <v>0</v>
      </c>
      <c r="G215" s="1">
        <v>0</v>
      </c>
      <c r="H215" s="70">
        <v>0</v>
      </c>
      <c r="I215" s="70">
        <v>0</v>
      </c>
    </row>
    <row r="216" spans="1:9">
      <c r="A216" s="71" t="s">
        <v>385</v>
      </c>
      <c r="B216" s="73">
        <v>20</v>
      </c>
      <c r="C216" s="73">
        <v>0</v>
      </c>
      <c r="D216" s="70">
        <v>0</v>
      </c>
      <c r="E216" s="73">
        <v>0</v>
      </c>
      <c r="F216" s="1">
        <v>0</v>
      </c>
      <c r="G216" s="1">
        <v>0</v>
      </c>
      <c r="H216" s="70">
        <v>0</v>
      </c>
      <c r="I216" s="70">
        <v>0</v>
      </c>
    </row>
    <row r="217" spans="1:9">
      <c r="A217" s="71" t="s">
        <v>401</v>
      </c>
      <c r="B217" s="73">
        <v>16</v>
      </c>
      <c r="C217" s="73">
        <v>1</v>
      </c>
      <c r="D217" s="70">
        <v>0.71</v>
      </c>
      <c r="E217" s="73">
        <v>0</v>
      </c>
      <c r="F217" s="1">
        <v>6.25E-2</v>
      </c>
      <c r="G217" s="1">
        <v>0</v>
      </c>
      <c r="H217" s="70">
        <v>0</v>
      </c>
      <c r="I217" s="70">
        <v>0.71</v>
      </c>
    </row>
    <row r="218" spans="1:9">
      <c r="A218" s="71" t="s">
        <v>403</v>
      </c>
      <c r="B218" s="73">
        <v>16</v>
      </c>
      <c r="C218" s="73">
        <v>0</v>
      </c>
      <c r="D218" s="70">
        <v>0</v>
      </c>
      <c r="E218" s="73">
        <v>0</v>
      </c>
      <c r="F218" s="1">
        <v>0</v>
      </c>
      <c r="G218" s="1">
        <v>0</v>
      </c>
      <c r="H218" s="70">
        <v>0</v>
      </c>
      <c r="I218" s="70">
        <v>0</v>
      </c>
    </row>
    <row r="219" spans="1:9">
      <c r="A219" s="71" t="s">
        <v>416</v>
      </c>
      <c r="B219" s="73">
        <v>15</v>
      </c>
      <c r="C219" s="73">
        <v>2</v>
      </c>
      <c r="D219" s="70">
        <v>6.02</v>
      </c>
      <c r="E219" s="73">
        <v>1</v>
      </c>
      <c r="F219" s="1">
        <v>0.13333333333333333</v>
      </c>
      <c r="G219" s="1">
        <v>0.5</v>
      </c>
      <c r="H219" s="70">
        <v>6.02</v>
      </c>
      <c r="I219" s="70">
        <v>3.01</v>
      </c>
    </row>
    <row r="220" spans="1:9">
      <c r="A220" s="38" t="s">
        <v>79</v>
      </c>
      <c r="B220" s="73">
        <v>468</v>
      </c>
      <c r="C220" s="73">
        <v>12</v>
      </c>
      <c r="D220" s="70">
        <v>33.35</v>
      </c>
      <c r="E220" s="73">
        <v>0</v>
      </c>
      <c r="F220" s="1">
        <v>2.564102564102564E-2</v>
      </c>
      <c r="G220" s="1">
        <v>0</v>
      </c>
      <c r="H220" s="70">
        <v>0</v>
      </c>
      <c r="I220" s="70">
        <v>2.7791666666666668</v>
      </c>
    </row>
    <row r="221" spans="1:9">
      <c r="A221" s="71" t="s">
        <v>391</v>
      </c>
      <c r="B221" s="73">
        <v>295</v>
      </c>
      <c r="C221" s="73">
        <v>6</v>
      </c>
      <c r="D221" s="70">
        <v>20.3</v>
      </c>
      <c r="E221" s="73">
        <v>0</v>
      </c>
      <c r="F221" s="1">
        <v>2.0338983050847456E-2</v>
      </c>
      <c r="G221" s="1">
        <v>0</v>
      </c>
      <c r="H221" s="70">
        <v>0</v>
      </c>
      <c r="I221" s="70">
        <v>3.3833333333333333</v>
      </c>
    </row>
    <row r="222" spans="1:9">
      <c r="A222" s="71" t="s">
        <v>417</v>
      </c>
      <c r="B222" s="73">
        <v>96</v>
      </c>
      <c r="C222" s="73">
        <v>5</v>
      </c>
      <c r="D222" s="70">
        <v>9.3800000000000008</v>
      </c>
      <c r="E222" s="73">
        <v>0</v>
      </c>
      <c r="F222" s="1">
        <v>5.2083333333333336E-2</v>
      </c>
      <c r="G222" s="1">
        <v>0</v>
      </c>
      <c r="H222" s="70">
        <v>0</v>
      </c>
      <c r="I222" s="70">
        <v>1.8760000000000001</v>
      </c>
    </row>
    <row r="223" spans="1:9">
      <c r="A223" s="71" t="s">
        <v>453</v>
      </c>
      <c r="B223" s="73">
        <v>42</v>
      </c>
      <c r="C223" s="73">
        <v>0</v>
      </c>
      <c r="D223" s="70">
        <v>0</v>
      </c>
      <c r="E223" s="73">
        <v>0</v>
      </c>
      <c r="F223" s="1">
        <v>0</v>
      </c>
      <c r="G223" s="1">
        <v>0</v>
      </c>
      <c r="H223" s="70">
        <v>0</v>
      </c>
      <c r="I223" s="70">
        <v>0</v>
      </c>
    </row>
    <row r="224" spans="1:9">
      <c r="A224" s="71" t="s">
        <v>375</v>
      </c>
      <c r="B224" s="73">
        <v>12</v>
      </c>
      <c r="C224" s="73">
        <v>0</v>
      </c>
      <c r="D224" s="70">
        <v>0</v>
      </c>
      <c r="E224" s="73">
        <v>0</v>
      </c>
      <c r="F224" s="1">
        <v>0</v>
      </c>
      <c r="G224" s="1">
        <v>0</v>
      </c>
      <c r="H224" s="70">
        <v>0</v>
      </c>
      <c r="I224" s="70">
        <v>0</v>
      </c>
    </row>
    <row r="225" spans="1:9">
      <c r="A225" s="71" t="s">
        <v>409</v>
      </c>
      <c r="B225" s="73">
        <v>12</v>
      </c>
      <c r="C225" s="73">
        <v>1</v>
      </c>
      <c r="D225" s="70">
        <v>3.67</v>
      </c>
      <c r="E225" s="73">
        <v>0</v>
      </c>
      <c r="F225" s="1">
        <v>8.3333333333333329E-2</v>
      </c>
      <c r="G225" s="1">
        <v>0</v>
      </c>
      <c r="H225" s="70">
        <v>0</v>
      </c>
      <c r="I225" s="70">
        <v>3.67</v>
      </c>
    </row>
    <row r="226" spans="1:9">
      <c r="A226" s="71" t="s">
        <v>455</v>
      </c>
      <c r="B226" s="73">
        <v>11</v>
      </c>
      <c r="C226" s="73">
        <v>0</v>
      </c>
      <c r="D226" s="70">
        <v>0</v>
      </c>
      <c r="E226" s="73">
        <v>0</v>
      </c>
      <c r="F226" s="1">
        <v>0</v>
      </c>
      <c r="G226" s="1">
        <v>0</v>
      </c>
      <c r="H226" s="70">
        <v>0</v>
      </c>
      <c r="I226" s="70">
        <v>0</v>
      </c>
    </row>
    <row r="227" spans="1:9">
      <c r="A227" s="8" t="s">
        <v>33</v>
      </c>
      <c r="B227" s="73">
        <v>30569</v>
      </c>
      <c r="C227" s="73">
        <v>947</v>
      </c>
      <c r="D227" s="70">
        <v>3124.7899999999991</v>
      </c>
      <c r="E227" s="73">
        <v>72</v>
      </c>
      <c r="F227" s="1">
        <v>3.097909647028035E-2</v>
      </c>
      <c r="G227" s="1">
        <v>7.6029567053854274E-2</v>
      </c>
      <c r="H227" s="70">
        <v>43.3998611111111</v>
      </c>
      <c r="I227" s="70">
        <v>3.2996726504751837</v>
      </c>
    </row>
    <row r="228" spans="1:9">
      <c r="E228"/>
      <c r="F228"/>
      <c r="G228"/>
      <c r="H228"/>
      <c r="I228"/>
    </row>
    <row r="229" spans="1:9">
      <c r="E229"/>
      <c r="F229"/>
      <c r="G229"/>
      <c r="H229"/>
      <c r="I229"/>
    </row>
    <row r="230" spans="1:9">
      <c r="E230"/>
      <c r="F230"/>
      <c r="G230"/>
      <c r="H230"/>
      <c r="I230"/>
    </row>
    <row r="231" spans="1:9">
      <c r="E231"/>
      <c r="F231"/>
      <c r="G231"/>
      <c r="H231"/>
      <c r="I231"/>
    </row>
    <row r="232" spans="1:9">
      <c r="E232"/>
      <c r="F232"/>
      <c r="G232"/>
      <c r="H232"/>
      <c r="I232"/>
    </row>
    <row r="233" spans="1:9">
      <c r="E233"/>
      <c r="F233"/>
      <c r="G233"/>
      <c r="H233"/>
      <c r="I233"/>
    </row>
    <row r="234" spans="1:9">
      <c r="E234"/>
      <c r="F234"/>
      <c r="G234"/>
      <c r="H234"/>
      <c r="I234"/>
    </row>
    <row r="235" spans="1:9">
      <c r="E235"/>
      <c r="F235"/>
      <c r="G235"/>
      <c r="H235"/>
      <c r="I235"/>
    </row>
    <row r="236" spans="1:9">
      <c r="E236"/>
      <c r="F236"/>
      <c r="G236"/>
      <c r="H236"/>
      <c r="I236"/>
    </row>
    <row r="237" spans="1:9">
      <c r="E237"/>
      <c r="F237"/>
      <c r="G237"/>
      <c r="H237"/>
      <c r="I237"/>
    </row>
    <row r="238" spans="1:9">
      <c r="E238"/>
      <c r="F238"/>
      <c r="G238"/>
      <c r="H238"/>
      <c r="I238"/>
    </row>
    <row r="239" spans="1:9">
      <c r="E239"/>
      <c r="F239"/>
      <c r="G239"/>
      <c r="H239"/>
      <c r="I239"/>
    </row>
    <row r="240" spans="1:9">
      <c r="E240"/>
      <c r="F240"/>
      <c r="G240"/>
      <c r="H240"/>
      <c r="I240"/>
    </row>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sheetData>
  <phoneticPr fontId="18" type="noConversion"/>
  <conditionalFormatting pivot="1" sqref="H5:H64 H66:H78 H80:H107">
    <cfRule type="colorScale" priority="3">
      <colorScale>
        <cfvo type="min"/>
        <cfvo type="percentile" val="50"/>
        <cfvo type="max"/>
        <color rgb="FF63BE7B"/>
        <color rgb="FFFFEB84"/>
        <color rgb="FFF8696B"/>
      </colorScale>
    </cfRule>
  </conditionalFormatting>
  <conditionalFormatting pivot="1" sqref="G5:G64 G66:G78 G80:G107">
    <cfRule type="colorScale" priority="2">
      <colorScale>
        <cfvo type="min"/>
        <cfvo type="percentile" val="50"/>
        <cfvo type="max"/>
        <color rgb="FFF8696B"/>
        <color rgb="FFFFEB84"/>
        <color rgb="FF63BE7B"/>
      </colorScale>
    </cfRule>
  </conditionalFormatting>
  <conditionalFormatting pivot="1" sqref="F5:F64 F66:F78 F80:F107">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C7A8B-1967-D246-9440-0B402CBCD20E}">
  <dimension ref="A1:C15"/>
  <sheetViews>
    <sheetView workbookViewId="0">
      <selection activeCell="I72" sqref="I72"/>
    </sheetView>
  </sheetViews>
  <sheetFormatPr baseColWidth="10" defaultRowHeight="15"/>
  <cols>
    <col min="1" max="1" width="11.5" bestFit="1" customWidth="1"/>
    <col min="2" max="2" width="9.5" bestFit="1" customWidth="1"/>
    <col min="3" max="3" width="55.33203125" bestFit="1" customWidth="1"/>
  </cols>
  <sheetData>
    <row r="1" spans="1:3">
      <c r="A1" s="84" t="s">
        <v>528</v>
      </c>
    </row>
    <row r="2" spans="1:3">
      <c r="A2" s="85" t="s">
        <v>529</v>
      </c>
      <c r="B2" s="85" t="s">
        <v>530</v>
      </c>
      <c r="C2" s="85" t="s">
        <v>531</v>
      </c>
    </row>
    <row r="3" spans="1:3">
      <c r="A3">
        <v>1</v>
      </c>
      <c r="B3" t="s">
        <v>539</v>
      </c>
      <c r="C3" t="s">
        <v>540</v>
      </c>
    </row>
    <row r="4" spans="1:3">
      <c r="A4">
        <v>2</v>
      </c>
      <c r="B4" t="s">
        <v>65</v>
      </c>
      <c r="C4" t="s">
        <v>552</v>
      </c>
    </row>
    <row r="5" spans="1:3">
      <c r="A5">
        <v>3</v>
      </c>
      <c r="B5" t="s">
        <v>553</v>
      </c>
      <c r="C5" t="s">
        <v>554</v>
      </c>
    </row>
    <row r="7" spans="1:3">
      <c r="A7" s="84" t="s">
        <v>532</v>
      </c>
    </row>
    <row r="8" spans="1:3">
      <c r="A8" s="85" t="s">
        <v>529</v>
      </c>
      <c r="B8" s="85" t="s">
        <v>533</v>
      </c>
      <c r="C8" s="85" t="s">
        <v>531</v>
      </c>
    </row>
    <row r="11" spans="1:3">
      <c r="A11" s="84" t="s">
        <v>534</v>
      </c>
      <c r="B11" t="s">
        <v>535</v>
      </c>
    </row>
    <row r="12" spans="1:3">
      <c r="B12" t="s">
        <v>536</v>
      </c>
    </row>
    <row r="14" spans="1:3">
      <c r="B14" t="s">
        <v>537</v>
      </c>
    </row>
    <row r="15" spans="1:3">
      <c r="B15" t="s">
        <v>538</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BDB74-B6CA-C54C-8916-385555B26281}">
  <dimension ref="A3:O69"/>
  <sheetViews>
    <sheetView tabSelected="1" zoomScale="58" workbookViewId="0">
      <selection activeCell="R47" sqref="R47"/>
    </sheetView>
  </sheetViews>
  <sheetFormatPr baseColWidth="10" defaultRowHeight="15"/>
  <cols>
    <col min="1" max="1" width="54.83203125" bestFit="1" customWidth="1"/>
    <col min="2" max="2" width="18.6640625" bestFit="1" customWidth="1"/>
    <col min="3" max="3" width="12.6640625" bestFit="1" customWidth="1"/>
    <col min="4" max="4" width="12.33203125" bestFit="1" customWidth="1"/>
    <col min="5" max="5" width="11.6640625" bestFit="1" customWidth="1"/>
    <col min="6" max="6" width="14.33203125" bestFit="1" customWidth="1"/>
    <col min="7" max="7" width="14.5" bestFit="1" customWidth="1"/>
    <col min="9" max="9" width="54.83203125" bestFit="1" customWidth="1"/>
    <col min="10" max="10" width="17" bestFit="1" customWidth="1"/>
    <col min="11" max="11" width="11" bestFit="1" customWidth="1"/>
    <col min="12" max="12" width="10.6640625" bestFit="1" customWidth="1"/>
    <col min="13" max="13" width="11.33203125" bestFit="1" customWidth="1"/>
    <col min="14" max="14" width="13.83203125" bestFit="1" customWidth="1"/>
    <col min="15" max="15" width="16.1640625" bestFit="1" customWidth="1"/>
  </cols>
  <sheetData>
    <row r="3" spans="1:15">
      <c r="A3" s="7" t="s">
        <v>512</v>
      </c>
      <c r="B3" t="s">
        <v>504</v>
      </c>
      <c r="C3" t="s">
        <v>502</v>
      </c>
      <c r="D3" t="s">
        <v>503</v>
      </c>
      <c r="E3" t="s">
        <v>505</v>
      </c>
      <c r="F3" t="s">
        <v>522</v>
      </c>
      <c r="G3" t="s">
        <v>523</v>
      </c>
      <c r="I3" s="7" t="s">
        <v>524</v>
      </c>
      <c r="J3" t="s">
        <v>504</v>
      </c>
      <c r="K3" t="s">
        <v>502</v>
      </c>
      <c r="L3" s="70" t="s">
        <v>521</v>
      </c>
      <c r="M3" t="s">
        <v>503</v>
      </c>
      <c r="N3" s="70" t="s">
        <v>542</v>
      </c>
      <c r="O3" t="s">
        <v>541</v>
      </c>
    </row>
    <row r="4" spans="1:15">
      <c r="A4" s="8">
        <v>65</v>
      </c>
      <c r="B4" s="73">
        <v>0</v>
      </c>
      <c r="C4" s="73">
        <v>0</v>
      </c>
      <c r="D4" s="73">
        <v>0</v>
      </c>
      <c r="E4" s="70">
        <v>0</v>
      </c>
      <c r="F4" s="70">
        <v>0</v>
      </c>
      <c r="G4" s="1">
        <v>0</v>
      </c>
      <c r="I4" s="8" t="s">
        <v>525</v>
      </c>
      <c r="J4" s="73">
        <v>362</v>
      </c>
      <c r="K4" s="73">
        <v>7358</v>
      </c>
      <c r="L4" s="70">
        <v>154.29</v>
      </c>
      <c r="M4" s="73">
        <v>28</v>
      </c>
      <c r="N4" s="70">
        <v>44.247142857142862</v>
      </c>
      <c r="O4" s="1">
        <v>7.7348066298342538E-2</v>
      </c>
    </row>
    <row r="5" spans="1:15">
      <c r="A5" s="38" t="s">
        <v>63</v>
      </c>
      <c r="B5" s="81">
        <v>0</v>
      </c>
      <c r="C5" s="81">
        <v>0</v>
      </c>
      <c r="D5" s="81">
        <v>0</v>
      </c>
      <c r="E5" s="70">
        <v>0</v>
      </c>
      <c r="F5" s="70">
        <v>0</v>
      </c>
      <c r="G5" s="1">
        <v>0</v>
      </c>
      <c r="I5" s="38" t="s">
        <v>19</v>
      </c>
      <c r="J5" s="73">
        <v>180</v>
      </c>
      <c r="K5" s="73">
        <v>3368</v>
      </c>
      <c r="L5" s="70">
        <v>52.87</v>
      </c>
      <c r="M5" s="73">
        <v>14</v>
      </c>
      <c r="N5" s="70">
        <v>52.86785714285714</v>
      </c>
      <c r="O5" s="1">
        <v>7.7777777777777779E-2</v>
      </c>
    </row>
    <row r="6" spans="1:15">
      <c r="A6" s="38" t="s">
        <v>24</v>
      </c>
      <c r="B6" s="81">
        <v>0</v>
      </c>
      <c r="C6" s="81">
        <v>0</v>
      </c>
      <c r="D6" s="81">
        <v>0</v>
      </c>
      <c r="E6" s="70">
        <v>0</v>
      </c>
      <c r="F6" s="70">
        <v>0</v>
      </c>
      <c r="G6" s="1">
        <v>0</v>
      </c>
      <c r="I6" s="38" t="s">
        <v>527</v>
      </c>
      <c r="J6" s="73">
        <v>53</v>
      </c>
      <c r="K6" s="73">
        <v>614</v>
      </c>
      <c r="L6" s="70">
        <v>71.819999999999993</v>
      </c>
      <c r="M6" s="73">
        <v>2</v>
      </c>
      <c r="N6" s="70">
        <v>71.814999999999998</v>
      </c>
      <c r="O6" s="1">
        <v>3.7735849056603772E-2</v>
      </c>
    </row>
    <row r="7" spans="1:15">
      <c r="A7" s="8" t="s">
        <v>519</v>
      </c>
      <c r="B7" s="73">
        <v>139</v>
      </c>
      <c r="C7" s="73">
        <v>3385</v>
      </c>
      <c r="D7" s="73">
        <v>12</v>
      </c>
      <c r="E7" s="70">
        <v>513.07000000000005</v>
      </c>
      <c r="F7" s="70">
        <v>42.755833333333335</v>
      </c>
      <c r="G7" s="1">
        <v>8.6330935251798566E-2</v>
      </c>
      <c r="I7" s="38" t="s">
        <v>24</v>
      </c>
      <c r="J7" s="73">
        <v>129</v>
      </c>
      <c r="K7" s="73">
        <v>3376</v>
      </c>
      <c r="L7" s="70">
        <v>29.6</v>
      </c>
      <c r="M7" s="73">
        <v>12</v>
      </c>
      <c r="N7" s="70">
        <v>29.594999999999999</v>
      </c>
      <c r="O7" s="1">
        <v>9.3023255813953487E-2</v>
      </c>
    </row>
    <row r="8" spans="1:15">
      <c r="A8" s="38" t="s">
        <v>19</v>
      </c>
      <c r="B8" s="81">
        <v>66</v>
      </c>
      <c r="C8" s="81">
        <v>1283</v>
      </c>
      <c r="D8" s="81">
        <v>4</v>
      </c>
      <c r="E8" s="70">
        <v>310.48</v>
      </c>
      <c r="F8" s="70">
        <v>77.62</v>
      </c>
      <c r="G8" s="1">
        <v>6.0606060606060608E-2</v>
      </c>
      <c r="I8" s="8" t="s">
        <v>526</v>
      </c>
      <c r="J8" s="73">
        <v>393</v>
      </c>
      <c r="K8" s="73">
        <v>11150</v>
      </c>
      <c r="L8" s="70">
        <v>109.38999999999999</v>
      </c>
      <c r="M8" s="73">
        <v>37</v>
      </c>
      <c r="N8" s="70">
        <v>37.751891891891894</v>
      </c>
      <c r="O8" s="1">
        <v>9.4147582697201013E-2</v>
      </c>
    </row>
    <row r="9" spans="1:15">
      <c r="A9" s="38" t="s">
        <v>63</v>
      </c>
      <c r="B9" s="81">
        <v>19</v>
      </c>
      <c r="C9" s="81">
        <v>208</v>
      </c>
      <c r="D9" s="81">
        <v>1</v>
      </c>
      <c r="E9" s="70">
        <v>44.87</v>
      </c>
      <c r="F9" s="70">
        <v>44.87</v>
      </c>
      <c r="G9" s="1">
        <v>5.2631578947368418E-2</v>
      </c>
      <c r="I9" s="38" t="s">
        <v>19</v>
      </c>
      <c r="J9" s="73">
        <v>140</v>
      </c>
      <c r="K9" s="73">
        <v>3317</v>
      </c>
      <c r="L9" s="70">
        <v>39.89</v>
      </c>
      <c r="M9" s="73">
        <v>17</v>
      </c>
      <c r="N9" s="70">
        <v>39.886470588235298</v>
      </c>
      <c r="O9" s="1">
        <v>0.12142857142857143</v>
      </c>
    </row>
    <row r="10" spans="1:15">
      <c r="A10" s="38" t="s">
        <v>24</v>
      </c>
      <c r="B10" s="81">
        <v>54</v>
      </c>
      <c r="C10" s="81">
        <v>1894</v>
      </c>
      <c r="D10" s="81">
        <v>7</v>
      </c>
      <c r="E10" s="70">
        <v>157.72</v>
      </c>
      <c r="F10" s="70">
        <v>22.53142857142857</v>
      </c>
      <c r="G10" s="1">
        <v>0.12962962962962962</v>
      </c>
      <c r="I10" s="38" t="s">
        <v>527</v>
      </c>
      <c r="J10" s="73">
        <v>41</v>
      </c>
      <c r="K10" s="73">
        <v>590</v>
      </c>
      <c r="L10" s="70">
        <v>32.770000000000003</v>
      </c>
      <c r="M10" s="73">
        <v>4</v>
      </c>
      <c r="N10" s="70">
        <v>32.772500000000001</v>
      </c>
      <c r="O10" s="1">
        <v>9.7560975609756101E-2</v>
      </c>
    </row>
    <row r="11" spans="1:15">
      <c r="A11" s="8" t="s">
        <v>514</v>
      </c>
      <c r="B11" s="73">
        <v>397</v>
      </c>
      <c r="C11" s="73">
        <v>10324</v>
      </c>
      <c r="D11" s="73">
        <v>39</v>
      </c>
      <c r="E11" s="70">
        <v>1282.6799999999998</v>
      </c>
      <c r="F11" s="70">
        <v>32.889230769230764</v>
      </c>
      <c r="G11" s="1">
        <v>9.8236775818639793E-2</v>
      </c>
      <c r="I11" s="38" t="s">
        <v>24</v>
      </c>
      <c r="J11" s="73">
        <v>212</v>
      </c>
      <c r="K11" s="73">
        <v>7243</v>
      </c>
      <c r="L11" s="70">
        <v>36.729999999999997</v>
      </c>
      <c r="M11" s="73">
        <v>16</v>
      </c>
      <c r="N11" s="70">
        <v>36.728749999999998</v>
      </c>
      <c r="O11" s="1">
        <v>7.5471698113207544E-2</v>
      </c>
    </row>
    <row r="12" spans="1:15">
      <c r="A12" s="38" t="s">
        <v>19</v>
      </c>
      <c r="B12" s="81">
        <v>161</v>
      </c>
      <c r="C12" s="81">
        <v>3597</v>
      </c>
      <c r="D12" s="81">
        <v>23</v>
      </c>
      <c r="E12" s="70">
        <v>661.27</v>
      </c>
      <c r="F12" s="70">
        <v>28.750869565217389</v>
      </c>
      <c r="G12" s="1">
        <v>0.14285714285714285</v>
      </c>
      <c r="I12" s="8" t="s">
        <v>516</v>
      </c>
      <c r="J12" s="73">
        <v>212</v>
      </c>
      <c r="K12" s="73">
        <v>12342</v>
      </c>
      <c r="L12" s="70">
        <v>33.630000000000003</v>
      </c>
      <c r="M12" s="73">
        <v>8</v>
      </c>
      <c r="N12" s="70">
        <v>71.424999999999997</v>
      </c>
      <c r="O12" s="1">
        <v>3.7735849056603772E-2</v>
      </c>
    </row>
    <row r="13" spans="1:15">
      <c r="A13" s="38" t="s">
        <v>63</v>
      </c>
      <c r="B13" s="81">
        <v>55</v>
      </c>
      <c r="C13" s="81">
        <v>683</v>
      </c>
      <c r="D13" s="81">
        <v>4</v>
      </c>
      <c r="E13" s="70">
        <v>150.27000000000001</v>
      </c>
      <c r="F13" s="70">
        <v>37.567500000000003</v>
      </c>
      <c r="G13" s="1">
        <v>7.2727272727272724E-2</v>
      </c>
      <c r="I13" s="38" t="s">
        <v>19</v>
      </c>
      <c r="J13" s="73">
        <v>71</v>
      </c>
      <c r="K13" s="73">
        <v>2504</v>
      </c>
      <c r="L13" s="70">
        <v>0</v>
      </c>
      <c r="M13" s="73">
        <v>0</v>
      </c>
      <c r="N13" s="70">
        <v>0</v>
      </c>
      <c r="O13" s="1">
        <v>0</v>
      </c>
    </row>
    <row r="14" spans="1:15">
      <c r="A14" s="38" t="s">
        <v>24</v>
      </c>
      <c r="B14" s="81">
        <v>181</v>
      </c>
      <c r="C14" s="81">
        <v>6044</v>
      </c>
      <c r="D14" s="81">
        <v>12</v>
      </c>
      <c r="E14" s="70">
        <v>471.14</v>
      </c>
      <c r="F14" s="70">
        <v>39.261666666666663</v>
      </c>
      <c r="G14" s="1">
        <v>6.6298342541436461E-2</v>
      </c>
      <c r="I14" s="38" t="s">
        <v>527</v>
      </c>
      <c r="J14" s="73">
        <v>12</v>
      </c>
      <c r="K14" s="73">
        <v>281</v>
      </c>
      <c r="L14" s="70">
        <v>0</v>
      </c>
      <c r="M14" s="73">
        <v>0</v>
      </c>
      <c r="N14" s="70">
        <v>0</v>
      </c>
      <c r="O14" s="1">
        <v>0</v>
      </c>
    </row>
    <row r="15" spans="1:15">
      <c r="A15" s="8" t="s">
        <v>518</v>
      </c>
      <c r="B15" s="73">
        <v>208</v>
      </c>
      <c r="C15" s="73">
        <v>4581</v>
      </c>
      <c r="D15" s="73">
        <v>14</v>
      </c>
      <c r="E15" s="70">
        <v>792.13</v>
      </c>
      <c r="F15" s="70">
        <v>56.580714285714286</v>
      </c>
      <c r="G15" s="1">
        <v>6.7307692307692304E-2</v>
      </c>
      <c r="I15" s="38" t="s">
        <v>24</v>
      </c>
      <c r="J15" s="73">
        <v>129</v>
      </c>
      <c r="K15" s="73">
        <v>9557</v>
      </c>
      <c r="L15" s="70">
        <v>33.630000000000003</v>
      </c>
      <c r="M15" s="73">
        <v>8</v>
      </c>
      <c r="N15" s="70">
        <v>33.627499999999998</v>
      </c>
      <c r="O15" s="1">
        <v>6.2015503875968991E-2</v>
      </c>
    </row>
    <row r="16" spans="1:15">
      <c r="A16" s="38" t="s">
        <v>19</v>
      </c>
      <c r="B16" s="81">
        <v>82</v>
      </c>
      <c r="C16" s="81">
        <v>1579</v>
      </c>
      <c r="D16" s="81">
        <v>4</v>
      </c>
      <c r="E16" s="70">
        <v>396.8</v>
      </c>
      <c r="F16" s="70">
        <v>99.2</v>
      </c>
      <c r="G16" s="1">
        <v>4.878048780487805E-2</v>
      </c>
      <c r="I16" s="8" t="s">
        <v>550</v>
      </c>
      <c r="J16" s="73">
        <v>967</v>
      </c>
      <c r="K16" s="73">
        <v>30850</v>
      </c>
      <c r="L16" s="70">
        <v>297.31</v>
      </c>
      <c r="M16" s="73">
        <v>73</v>
      </c>
      <c r="N16" s="70">
        <v>43.933424657534253</v>
      </c>
      <c r="O16" s="1">
        <v>7.5491209927611172E-2</v>
      </c>
    </row>
    <row r="17" spans="1:7">
      <c r="A17" s="38" t="s">
        <v>63</v>
      </c>
      <c r="B17" s="81">
        <v>20</v>
      </c>
      <c r="C17" s="81">
        <v>313</v>
      </c>
      <c r="D17" s="81">
        <v>1</v>
      </c>
      <c r="E17" s="70">
        <v>79.58</v>
      </c>
      <c r="F17" s="70">
        <v>79.58</v>
      </c>
      <c r="G17" s="1">
        <v>0.05</v>
      </c>
    </row>
    <row r="18" spans="1:7">
      <c r="A18" s="38" t="s">
        <v>24</v>
      </c>
      <c r="B18" s="81">
        <v>106</v>
      </c>
      <c r="C18" s="81">
        <v>2689</v>
      </c>
      <c r="D18" s="81">
        <v>9</v>
      </c>
      <c r="E18" s="70">
        <v>315.75</v>
      </c>
      <c r="F18" s="70">
        <v>35.083333333333336</v>
      </c>
      <c r="G18" s="1">
        <v>8.4905660377358486E-2</v>
      </c>
    </row>
    <row r="19" spans="1:7">
      <c r="A19" s="8" t="s">
        <v>517</v>
      </c>
      <c r="B19" s="73">
        <v>8</v>
      </c>
      <c r="C19" s="73">
        <v>148</v>
      </c>
      <c r="D19" s="73">
        <v>0</v>
      </c>
      <c r="E19" s="70">
        <v>25.36</v>
      </c>
      <c r="F19" s="70">
        <v>0</v>
      </c>
      <c r="G19" s="1">
        <v>0</v>
      </c>
    </row>
    <row r="20" spans="1:7">
      <c r="A20" s="38" t="s">
        <v>19</v>
      </c>
      <c r="B20" s="81">
        <v>8</v>
      </c>
      <c r="C20" s="81">
        <v>148</v>
      </c>
      <c r="D20" s="81">
        <v>0</v>
      </c>
      <c r="E20" s="70">
        <v>25.36</v>
      </c>
      <c r="F20" s="70">
        <v>0</v>
      </c>
      <c r="G20" s="1">
        <v>0</v>
      </c>
    </row>
    <row r="21" spans="1:7">
      <c r="A21" s="38" t="s">
        <v>63</v>
      </c>
      <c r="B21" s="81">
        <v>0</v>
      </c>
      <c r="C21" s="81">
        <v>0</v>
      </c>
      <c r="D21" s="81">
        <v>0</v>
      </c>
      <c r="E21" s="70">
        <v>0</v>
      </c>
      <c r="F21" s="70">
        <v>0</v>
      </c>
      <c r="G21" s="1">
        <v>0</v>
      </c>
    </row>
    <row r="22" spans="1:7">
      <c r="A22" s="38" t="s">
        <v>24</v>
      </c>
      <c r="B22" s="81">
        <v>0</v>
      </c>
      <c r="C22" s="81">
        <v>0</v>
      </c>
      <c r="D22" s="81">
        <v>0</v>
      </c>
      <c r="E22" s="70">
        <v>0</v>
      </c>
      <c r="F22" s="70">
        <v>0</v>
      </c>
      <c r="G22" s="1">
        <v>0</v>
      </c>
    </row>
    <row r="23" spans="1:7">
      <c r="A23" s="8" t="s">
        <v>513</v>
      </c>
      <c r="B23" s="73">
        <v>3</v>
      </c>
      <c r="C23" s="73">
        <v>49</v>
      </c>
      <c r="D23" s="73">
        <v>0</v>
      </c>
      <c r="E23" s="70">
        <v>24.3</v>
      </c>
      <c r="F23" s="70">
        <v>0</v>
      </c>
      <c r="G23" s="1">
        <v>0</v>
      </c>
    </row>
    <row r="24" spans="1:7">
      <c r="A24" s="38" t="s">
        <v>19</v>
      </c>
      <c r="B24" s="81">
        <v>3</v>
      </c>
      <c r="C24" s="81">
        <v>49</v>
      </c>
      <c r="D24" s="81">
        <v>0</v>
      </c>
      <c r="E24" s="70">
        <v>24.3</v>
      </c>
      <c r="F24" s="70">
        <v>0</v>
      </c>
      <c r="G24" s="1">
        <v>0</v>
      </c>
    </row>
    <row r="25" spans="1:7">
      <c r="A25" s="38" t="s">
        <v>63</v>
      </c>
      <c r="B25" s="81">
        <v>0</v>
      </c>
      <c r="C25" s="81">
        <v>0</v>
      </c>
      <c r="D25" s="81">
        <v>0</v>
      </c>
      <c r="E25" s="70">
        <v>0</v>
      </c>
      <c r="F25" s="70">
        <v>0</v>
      </c>
      <c r="G25" s="1">
        <v>0</v>
      </c>
    </row>
    <row r="26" spans="1:7">
      <c r="A26" s="38" t="s">
        <v>24</v>
      </c>
      <c r="B26" s="81">
        <v>0</v>
      </c>
      <c r="C26" s="81">
        <v>0</v>
      </c>
      <c r="D26" s="81">
        <v>0</v>
      </c>
      <c r="E26" s="70">
        <v>0</v>
      </c>
      <c r="F26" s="70">
        <v>0</v>
      </c>
      <c r="G26" s="1">
        <v>0</v>
      </c>
    </row>
    <row r="27" spans="1:7">
      <c r="A27" s="8" t="s">
        <v>515</v>
      </c>
      <c r="B27" s="73">
        <v>0</v>
      </c>
      <c r="C27" s="73">
        <v>14</v>
      </c>
      <c r="D27" s="73">
        <v>0</v>
      </c>
      <c r="E27" s="70">
        <v>0</v>
      </c>
      <c r="F27" s="70">
        <v>0</v>
      </c>
      <c r="G27" s="1">
        <v>0</v>
      </c>
    </row>
    <row r="28" spans="1:7">
      <c r="A28" s="38" t="s">
        <v>19</v>
      </c>
      <c r="B28" s="81">
        <v>0</v>
      </c>
      <c r="C28" s="81">
        <v>14</v>
      </c>
      <c r="D28" s="81">
        <v>0</v>
      </c>
      <c r="E28" s="70">
        <v>0</v>
      </c>
      <c r="F28" s="70">
        <v>0</v>
      </c>
      <c r="G28" s="1">
        <v>0</v>
      </c>
    </row>
    <row r="29" spans="1:7">
      <c r="A29" s="8" t="s">
        <v>516</v>
      </c>
      <c r="B29" s="73">
        <v>212</v>
      </c>
      <c r="C29" s="73">
        <v>12349</v>
      </c>
      <c r="D29" s="73">
        <v>8</v>
      </c>
      <c r="E29" s="70">
        <v>569.58999999999992</v>
      </c>
      <c r="F29" s="70">
        <v>71.19874999999999</v>
      </c>
      <c r="G29" s="1">
        <v>3.7735849056603772E-2</v>
      </c>
    </row>
    <row r="30" spans="1:7">
      <c r="A30" s="38" t="s">
        <v>19</v>
      </c>
      <c r="B30" s="81">
        <v>71</v>
      </c>
      <c r="C30" s="81">
        <v>2519</v>
      </c>
      <c r="D30" s="81">
        <v>0</v>
      </c>
      <c r="E30" s="70">
        <v>270.5</v>
      </c>
      <c r="F30" s="70">
        <v>0</v>
      </c>
      <c r="G30" s="1">
        <v>0</v>
      </c>
    </row>
    <row r="31" spans="1:7">
      <c r="A31" s="38" t="s">
        <v>63</v>
      </c>
      <c r="B31" s="81">
        <v>12</v>
      </c>
      <c r="C31" s="81">
        <v>281</v>
      </c>
      <c r="D31" s="81">
        <v>0</v>
      </c>
      <c r="E31" s="70">
        <v>31.88</v>
      </c>
      <c r="F31" s="70">
        <v>0</v>
      </c>
      <c r="G31" s="1">
        <v>0</v>
      </c>
    </row>
    <row r="32" spans="1:7">
      <c r="A32" s="38" t="s">
        <v>24</v>
      </c>
      <c r="B32" s="81">
        <v>129</v>
      </c>
      <c r="C32" s="81">
        <v>9549</v>
      </c>
      <c r="D32" s="81">
        <v>8</v>
      </c>
      <c r="E32" s="70">
        <v>267.20999999999998</v>
      </c>
      <c r="F32" s="70">
        <v>33.401249999999997</v>
      </c>
      <c r="G32" s="1">
        <v>6.2015503875968991E-2</v>
      </c>
    </row>
    <row r="33" spans="1:15">
      <c r="A33" s="8" t="s">
        <v>550</v>
      </c>
      <c r="B33" s="73">
        <v>967</v>
      </c>
      <c r="C33" s="73">
        <v>30850</v>
      </c>
      <c r="D33" s="73">
        <v>73</v>
      </c>
      <c r="E33" s="70">
        <v>3207.1300000000006</v>
      </c>
      <c r="F33" s="70">
        <v>43.933287671232883</v>
      </c>
      <c r="G33" s="1">
        <v>7.5491209927611172E-2</v>
      </c>
    </row>
    <row r="40" spans="1:15">
      <c r="I40" s="7" t="s">
        <v>551</v>
      </c>
      <c r="J40" t="s">
        <v>503</v>
      </c>
      <c r="K40" t="s">
        <v>504</v>
      </c>
      <c r="L40" t="s">
        <v>502</v>
      </c>
      <c r="M40" s="70" t="s">
        <v>505</v>
      </c>
      <c r="N40" s="70" t="s">
        <v>542</v>
      </c>
      <c r="O40" s="1" t="s">
        <v>541</v>
      </c>
    </row>
    <row r="41" spans="1:15">
      <c r="I41" s="8" t="s">
        <v>549</v>
      </c>
      <c r="J41" s="73">
        <v>10</v>
      </c>
      <c r="K41" s="73">
        <v>93</v>
      </c>
      <c r="L41" s="73">
        <v>2439</v>
      </c>
      <c r="M41" s="70">
        <v>322.75</v>
      </c>
      <c r="N41" s="70">
        <v>32.274999999999999</v>
      </c>
      <c r="O41" s="1">
        <v>0.10752688172043011</v>
      </c>
    </row>
    <row r="42" spans="1:15">
      <c r="I42" s="38" t="s">
        <v>19</v>
      </c>
      <c r="J42" s="73">
        <v>8</v>
      </c>
      <c r="K42" s="73">
        <v>44</v>
      </c>
      <c r="L42" s="73">
        <v>920</v>
      </c>
      <c r="M42" s="70">
        <v>190.34</v>
      </c>
      <c r="N42" s="70">
        <v>23.7925</v>
      </c>
      <c r="O42" s="1">
        <v>0.18181818181818182</v>
      </c>
    </row>
    <row r="43" spans="1:15">
      <c r="I43" s="38" t="s">
        <v>527</v>
      </c>
      <c r="J43" s="73">
        <v>1</v>
      </c>
      <c r="K43" s="73">
        <v>9</v>
      </c>
      <c r="L43" s="73">
        <v>183</v>
      </c>
      <c r="M43" s="70">
        <v>30.41</v>
      </c>
      <c r="N43" s="70">
        <v>30.41</v>
      </c>
      <c r="O43" s="1">
        <v>0.1111111111111111</v>
      </c>
    </row>
    <row r="44" spans="1:15">
      <c r="I44" s="38" t="s">
        <v>24</v>
      </c>
      <c r="J44" s="73">
        <v>1</v>
      </c>
      <c r="K44" s="73">
        <v>40</v>
      </c>
      <c r="L44" s="73">
        <v>1336</v>
      </c>
      <c r="M44" s="70">
        <v>102</v>
      </c>
      <c r="N44" s="70">
        <v>102</v>
      </c>
      <c r="O44" s="1">
        <v>2.5000000000000001E-2</v>
      </c>
    </row>
    <row r="45" spans="1:15">
      <c r="I45" s="8" t="s">
        <v>544</v>
      </c>
      <c r="J45" s="73">
        <v>1</v>
      </c>
      <c r="K45" s="73">
        <v>64</v>
      </c>
      <c r="L45" s="73">
        <v>2162</v>
      </c>
      <c r="M45" s="70">
        <v>260.27</v>
      </c>
      <c r="N45" s="70">
        <v>260.27</v>
      </c>
      <c r="O45" s="1">
        <v>1.5625E-2</v>
      </c>
    </row>
    <row r="46" spans="1:15">
      <c r="I46" s="38" t="s">
        <v>19</v>
      </c>
      <c r="J46" s="73">
        <v>0</v>
      </c>
      <c r="K46" s="73">
        <v>31</v>
      </c>
      <c r="L46" s="73">
        <v>792</v>
      </c>
      <c r="M46" s="70">
        <v>152.72</v>
      </c>
      <c r="N46" s="70">
        <v>0</v>
      </c>
      <c r="O46" s="1">
        <v>0</v>
      </c>
    </row>
    <row r="47" spans="1:15">
      <c r="I47" s="38" t="s">
        <v>527</v>
      </c>
      <c r="J47" s="73">
        <v>0</v>
      </c>
      <c r="K47" s="73">
        <v>6</v>
      </c>
      <c r="L47" s="73">
        <v>125</v>
      </c>
      <c r="M47" s="70">
        <v>18.350000000000001</v>
      </c>
      <c r="N47" s="70">
        <v>0</v>
      </c>
      <c r="O47" s="1">
        <v>0</v>
      </c>
    </row>
    <row r="48" spans="1:15">
      <c r="I48" s="38" t="s">
        <v>24</v>
      </c>
      <c r="J48" s="73">
        <v>1</v>
      </c>
      <c r="K48" s="73">
        <v>27</v>
      </c>
      <c r="L48" s="73">
        <v>1245</v>
      </c>
      <c r="M48" s="70">
        <v>89.2</v>
      </c>
      <c r="N48" s="70">
        <v>89.2</v>
      </c>
      <c r="O48" s="1">
        <v>3.7037037037037035E-2</v>
      </c>
    </row>
    <row r="49" spans="9:15">
      <c r="I49" s="8" t="s">
        <v>545</v>
      </c>
      <c r="J49" s="73">
        <v>5</v>
      </c>
      <c r="K49" s="73">
        <v>96</v>
      </c>
      <c r="L49" s="73">
        <v>2623</v>
      </c>
      <c r="M49" s="70">
        <v>375.96999999999997</v>
      </c>
      <c r="N49" s="70">
        <v>75.193999999999988</v>
      </c>
      <c r="O49" s="1">
        <v>5.2083333333333336E-2</v>
      </c>
    </row>
    <row r="50" spans="9:15">
      <c r="I50" s="38" t="s">
        <v>19</v>
      </c>
      <c r="J50" s="73">
        <v>3</v>
      </c>
      <c r="K50" s="73">
        <v>44</v>
      </c>
      <c r="L50" s="73">
        <v>930</v>
      </c>
      <c r="M50" s="70">
        <v>223.65</v>
      </c>
      <c r="N50" s="70">
        <v>74.55</v>
      </c>
      <c r="O50" s="1">
        <v>6.8181818181818177E-2</v>
      </c>
    </row>
    <row r="51" spans="9:15">
      <c r="I51" s="38" t="s">
        <v>527</v>
      </c>
      <c r="J51" s="73">
        <v>0</v>
      </c>
      <c r="K51" s="73">
        <v>14</v>
      </c>
      <c r="L51" s="73">
        <v>197</v>
      </c>
      <c r="M51" s="70">
        <v>40.549999999999997</v>
      </c>
      <c r="N51" s="70">
        <v>0</v>
      </c>
      <c r="O51" s="1">
        <v>0</v>
      </c>
    </row>
    <row r="52" spans="9:15">
      <c r="I52" s="38" t="s">
        <v>24</v>
      </c>
      <c r="J52" s="73">
        <v>2</v>
      </c>
      <c r="K52" s="73">
        <v>38</v>
      </c>
      <c r="L52" s="73">
        <v>1496</v>
      </c>
      <c r="M52" s="70">
        <v>111.77</v>
      </c>
      <c r="N52" s="70">
        <v>55.884999999999998</v>
      </c>
      <c r="O52" s="1">
        <v>5.2631578947368418E-2</v>
      </c>
    </row>
    <row r="53" spans="9:15">
      <c r="I53" s="8" t="s">
        <v>548</v>
      </c>
      <c r="J53" s="73">
        <v>6</v>
      </c>
      <c r="K53" s="73">
        <v>73</v>
      </c>
      <c r="L53" s="73">
        <v>1635</v>
      </c>
      <c r="M53" s="70">
        <v>269.19</v>
      </c>
      <c r="N53" s="70">
        <v>44.865000000000002</v>
      </c>
      <c r="O53" s="1">
        <v>8.2191780821917804E-2</v>
      </c>
    </row>
    <row r="54" spans="9:15">
      <c r="I54" s="38" t="s">
        <v>19</v>
      </c>
      <c r="J54" s="73">
        <v>3</v>
      </c>
      <c r="K54" s="73">
        <v>33</v>
      </c>
      <c r="L54" s="73">
        <v>634</v>
      </c>
      <c r="M54" s="70">
        <v>148.53</v>
      </c>
      <c r="N54" s="70">
        <v>49.51</v>
      </c>
      <c r="O54" s="1">
        <v>9.0909090909090912E-2</v>
      </c>
    </row>
    <row r="55" spans="9:15">
      <c r="I55" s="38" t="s">
        <v>527</v>
      </c>
      <c r="J55" s="73">
        <v>1</v>
      </c>
      <c r="K55" s="73">
        <v>17</v>
      </c>
      <c r="L55" s="73">
        <v>115</v>
      </c>
      <c r="M55" s="70">
        <v>50.16</v>
      </c>
      <c r="N55" s="70">
        <v>50.16</v>
      </c>
      <c r="O55" s="1">
        <v>5.8823529411764705E-2</v>
      </c>
    </row>
    <row r="56" spans="9:15">
      <c r="I56" s="38" t="s">
        <v>24</v>
      </c>
      <c r="J56" s="73">
        <v>2</v>
      </c>
      <c r="K56" s="73">
        <v>23</v>
      </c>
      <c r="L56" s="73">
        <v>886</v>
      </c>
      <c r="M56" s="70">
        <v>70.5</v>
      </c>
      <c r="N56" s="70">
        <v>35.25</v>
      </c>
      <c r="O56" s="1">
        <v>8.6956521739130432E-2</v>
      </c>
    </row>
    <row r="57" spans="9:15">
      <c r="I57" s="8" t="s">
        <v>547</v>
      </c>
      <c r="J57" s="73">
        <v>31</v>
      </c>
      <c r="K57" s="73">
        <v>290</v>
      </c>
      <c r="L57" s="73">
        <v>6368</v>
      </c>
      <c r="M57" s="70">
        <v>1015.29</v>
      </c>
      <c r="N57" s="70">
        <v>32.751290322580644</v>
      </c>
      <c r="O57" s="1">
        <v>0.10689655172413794</v>
      </c>
    </row>
    <row r="58" spans="9:15">
      <c r="I58" s="38" t="s">
        <v>19</v>
      </c>
      <c r="J58" s="73">
        <v>16</v>
      </c>
      <c r="K58" s="73">
        <v>138</v>
      </c>
      <c r="L58" s="73">
        <v>2756</v>
      </c>
      <c r="M58" s="70">
        <v>576.14</v>
      </c>
      <c r="N58" s="70">
        <v>36.008749999999999</v>
      </c>
      <c r="O58" s="1">
        <v>0.11594202898550725</v>
      </c>
    </row>
    <row r="59" spans="9:15">
      <c r="I59" s="38" t="s">
        <v>527</v>
      </c>
      <c r="J59" s="73">
        <v>3</v>
      </c>
      <c r="K59" s="73">
        <v>44</v>
      </c>
      <c r="L59" s="73">
        <v>515</v>
      </c>
      <c r="M59" s="70">
        <v>124.31</v>
      </c>
      <c r="N59" s="70">
        <v>41.436666666666667</v>
      </c>
      <c r="O59" s="1">
        <v>6.8181818181818177E-2</v>
      </c>
    </row>
    <row r="60" spans="9:15">
      <c r="I60" s="38" t="s">
        <v>24</v>
      </c>
      <c r="J60" s="73">
        <v>12</v>
      </c>
      <c r="K60" s="73">
        <v>108</v>
      </c>
      <c r="L60" s="73">
        <v>3097</v>
      </c>
      <c r="M60" s="70">
        <v>314.83999999999997</v>
      </c>
      <c r="N60" s="70">
        <v>26.236666666666665</v>
      </c>
      <c r="O60" s="1">
        <v>0.1111111111111111</v>
      </c>
    </row>
    <row r="61" spans="9:15">
      <c r="I61" s="8" t="s">
        <v>546</v>
      </c>
      <c r="J61" s="73">
        <v>9</v>
      </c>
      <c r="K61" s="73">
        <v>100</v>
      </c>
      <c r="L61" s="73">
        <v>2251</v>
      </c>
      <c r="M61" s="70">
        <v>271.7</v>
      </c>
      <c r="N61" s="70">
        <v>30.188888888888886</v>
      </c>
      <c r="O61" s="1">
        <v>0.09</v>
      </c>
    </row>
    <row r="62" spans="9:15">
      <c r="I62" s="38" t="s">
        <v>19</v>
      </c>
      <c r="J62" s="73">
        <v>0</v>
      </c>
      <c r="K62" s="73">
        <v>12</v>
      </c>
      <c r="L62" s="73">
        <v>264</v>
      </c>
      <c r="M62" s="70">
        <v>48.1</v>
      </c>
      <c r="N62" s="70">
        <v>0</v>
      </c>
      <c r="O62" s="1">
        <v>0</v>
      </c>
    </row>
    <row r="63" spans="9:15">
      <c r="I63" s="38" t="s">
        <v>527</v>
      </c>
      <c r="J63" s="73">
        <v>0</v>
      </c>
      <c r="K63" s="73">
        <v>0</v>
      </c>
      <c r="L63" s="73">
        <v>0</v>
      </c>
      <c r="M63" s="70">
        <v>0</v>
      </c>
      <c r="N63" s="70" t="e">
        <v>#VALUE!</v>
      </c>
      <c r="O63" s="1" t="e">
        <v>#VALUE!</v>
      </c>
    </row>
    <row r="64" spans="9:15">
      <c r="I64" s="38" t="s">
        <v>24</v>
      </c>
      <c r="J64" s="73">
        <v>9</v>
      </c>
      <c r="K64" s="73">
        <v>88</v>
      </c>
      <c r="L64" s="73">
        <v>1987</v>
      </c>
      <c r="M64" s="70">
        <v>223.6</v>
      </c>
      <c r="N64" s="70">
        <v>24.844444444444445</v>
      </c>
      <c r="O64" s="1">
        <v>0.10227272727272728</v>
      </c>
    </row>
    <row r="65" spans="9:15">
      <c r="I65" s="8" t="s">
        <v>516</v>
      </c>
      <c r="J65" s="73">
        <v>11</v>
      </c>
      <c r="K65" s="73">
        <v>251</v>
      </c>
      <c r="L65" s="73">
        <v>13372</v>
      </c>
      <c r="M65" s="70">
        <v>691.96</v>
      </c>
      <c r="N65" s="70">
        <v>62.905454545454546</v>
      </c>
      <c r="O65" s="1">
        <v>4.3824701195219126E-2</v>
      </c>
    </row>
    <row r="66" spans="9:15">
      <c r="I66" s="38" t="s">
        <v>19</v>
      </c>
      <c r="J66" s="73">
        <v>1</v>
      </c>
      <c r="K66" s="73">
        <v>89</v>
      </c>
      <c r="L66" s="73">
        <v>2893</v>
      </c>
      <c r="M66" s="70">
        <v>349.23</v>
      </c>
      <c r="N66" s="70">
        <v>349.23</v>
      </c>
      <c r="O66" s="1">
        <v>1.1235955056179775E-2</v>
      </c>
    </row>
    <row r="67" spans="9:15">
      <c r="I67" s="38" t="s">
        <v>527</v>
      </c>
      <c r="J67" s="73">
        <v>1</v>
      </c>
      <c r="K67" s="73">
        <v>16</v>
      </c>
      <c r="L67" s="73">
        <v>350</v>
      </c>
      <c r="M67" s="70">
        <v>42.82</v>
      </c>
      <c r="N67" s="70">
        <v>42.82</v>
      </c>
      <c r="O67" s="1">
        <v>6.25E-2</v>
      </c>
    </row>
    <row r="68" spans="9:15">
      <c r="I68" s="38" t="s">
        <v>24</v>
      </c>
      <c r="J68" s="73">
        <v>9</v>
      </c>
      <c r="K68" s="73">
        <v>146</v>
      </c>
      <c r="L68" s="73">
        <v>10129</v>
      </c>
      <c r="M68" s="70">
        <v>299.91000000000003</v>
      </c>
      <c r="N68" s="70">
        <v>33.323333333333338</v>
      </c>
      <c r="O68" s="1">
        <v>6.1643835616438353E-2</v>
      </c>
    </row>
    <row r="69" spans="9:15">
      <c r="I69" s="8" t="s">
        <v>550</v>
      </c>
      <c r="J69" s="73">
        <v>73</v>
      </c>
      <c r="K69" s="73">
        <v>967</v>
      </c>
      <c r="L69" s="73">
        <v>30850</v>
      </c>
      <c r="M69" s="70">
        <v>3207.13</v>
      </c>
      <c r="N69" s="70">
        <v>43.933287671232875</v>
      </c>
      <c r="O69" s="1">
        <v>7.5491209927611172E-2</v>
      </c>
    </row>
  </sheetData>
  <phoneticPr fontId="18" type="noConversion"/>
  <pageMargins left="0.7" right="0.7" top="0.75" bottom="0.75" header="0.3" footer="0.3"/>
  <pageSetup orientation="portrait" horizontalDpi="0" verticalDpi="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5FF4-2287-334A-8643-27604C6688F0}">
  <dimension ref="A1:Q708"/>
  <sheetViews>
    <sheetView topLeftCell="A77" workbookViewId="0">
      <selection activeCell="D19" sqref="D19"/>
    </sheetView>
  </sheetViews>
  <sheetFormatPr baseColWidth="10" defaultRowHeight="15"/>
  <cols>
    <col min="1" max="1" width="11.5" customWidth="1"/>
    <col min="2" max="2" width="15.1640625" customWidth="1"/>
    <col min="4" max="4" width="12.33203125" customWidth="1"/>
    <col min="7" max="7" width="14.6640625" customWidth="1"/>
    <col min="8" max="8" width="12.83203125" customWidth="1"/>
    <col min="9" max="9" width="15" customWidth="1"/>
    <col min="10" max="10" width="12.5" customWidth="1"/>
    <col min="16" max="16" width="18.1640625" customWidth="1"/>
    <col min="17" max="17" width="11.5" customWidth="1"/>
  </cols>
  <sheetData>
    <row r="1" spans="1:17">
      <c r="A1" t="s">
        <v>59</v>
      </c>
      <c r="B1" t="s">
        <v>68</v>
      </c>
      <c r="C1" t="s">
        <v>69</v>
      </c>
      <c r="D1" t="s">
        <v>70</v>
      </c>
      <c r="E1" t="s">
        <v>48</v>
      </c>
      <c r="F1" t="s">
        <v>49</v>
      </c>
      <c r="G1" t="s">
        <v>71</v>
      </c>
      <c r="H1" t="s">
        <v>12</v>
      </c>
      <c r="I1" t="s">
        <v>10</v>
      </c>
      <c r="J1" t="s">
        <v>13</v>
      </c>
      <c r="K1" t="s">
        <v>7</v>
      </c>
      <c r="L1" t="s">
        <v>11</v>
      </c>
      <c r="M1" t="s">
        <v>8</v>
      </c>
      <c r="N1" t="s">
        <v>9</v>
      </c>
      <c r="O1" t="s">
        <v>36</v>
      </c>
      <c r="P1" t="s">
        <v>72</v>
      </c>
      <c r="Q1" t="s">
        <v>14</v>
      </c>
    </row>
    <row r="2" spans="1:17">
      <c r="A2" t="s">
        <v>73</v>
      </c>
      <c r="B2" t="s">
        <v>53</v>
      </c>
      <c r="C2" t="s">
        <v>74</v>
      </c>
      <c r="D2" t="s">
        <v>75</v>
      </c>
      <c r="E2" t="s">
        <v>58</v>
      </c>
      <c r="F2" t="s">
        <v>55</v>
      </c>
      <c r="G2" t="s">
        <v>76</v>
      </c>
      <c r="H2">
        <v>0</v>
      </c>
      <c r="I2" t="s">
        <v>21</v>
      </c>
      <c r="J2">
        <v>0</v>
      </c>
      <c r="K2">
        <v>0</v>
      </c>
      <c r="L2">
        <v>0</v>
      </c>
      <c r="M2">
        <v>0</v>
      </c>
      <c r="N2" t="s">
        <v>77</v>
      </c>
      <c r="O2">
        <v>0</v>
      </c>
      <c r="P2" t="s">
        <v>77</v>
      </c>
      <c r="Q2" s="1">
        <v>0</v>
      </c>
    </row>
    <row r="3" spans="1:17">
      <c r="A3" t="s">
        <v>19</v>
      </c>
      <c r="B3" t="s">
        <v>53</v>
      </c>
      <c r="C3" t="s">
        <v>78</v>
      </c>
      <c r="D3" t="s">
        <v>79</v>
      </c>
      <c r="E3" t="s">
        <v>58</v>
      </c>
      <c r="F3" t="s">
        <v>55</v>
      </c>
      <c r="G3" t="s">
        <v>80</v>
      </c>
      <c r="H3">
        <v>0</v>
      </c>
      <c r="I3" t="s">
        <v>21</v>
      </c>
      <c r="J3">
        <v>0</v>
      </c>
      <c r="K3">
        <v>0</v>
      </c>
      <c r="L3">
        <v>0</v>
      </c>
      <c r="M3">
        <v>0</v>
      </c>
      <c r="N3" t="s">
        <v>77</v>
      </c>
      <c r="O3">
        <v>0</v>
      </c>
      <c r="P3" t="s">
        <v>77</v>
      </c>
      <c r="Q3" s="1">
        <v>0</v>
      </c>
    </row>
    <row r="4" spans="1:17">
      <c r="A4" t="s">
        <v>19</v>
      </c>
      <c r="B4" t="s">
        <v>53</v>
      </c>
      <c r="C4" t="s">
        <v>81</v>
      </c>
      <c r="D4" t="s">
        <v>82</v>
      </c>
      <c r="E4" t="s">
        <v>58</v>
      </c>
      <c r="F4" t="s">
        <v>55</v>
      </c>
      <c r="G4" t="s">
        <v>80</v>
      </c>
      <c r="H4">
        <v>0</v>
      </c>
      <c r="I4" t="s">
        <v>21</v>
      </c>
      <c r="J4">
        <v>0</v>
      </c>
      <c r="K4">
        <v>0</v>
      </c>
      <c r="L4">
        <v>0</v>
      </c>
      <c r="M4">
        <v>2</v>
      </c>
      <c r="N4" s="1">
        <v>0</v>
      </c>
      <c r="O4">
        <v>0</v>
      </c>
      <c r="P4">
        <v>3</v>
      </c>
      <c r="Q4" s="1">
        <v>0</v>
      </c>
    </row>
    <row r="5" spans="1:17">
      <c r="A5" t="s">
        <v>19</v>
      </c>
      <c r="B5" t="s">
        <v>53</v>
      </c>
      <c r="C5" t="s">
        <v>83</v>
      </c>
      <c r="D5" t="s">
        <v>75</v>
      </c>
      <c r="E5" t="s">
        <v>58</v>
      </c>
      <c r="F5" t="s">
        <v>55</v>
      </c>
      <c r="G5" t="s">
        <v>80</v>
      </c>
      <c r="H5">
        <v>0</v>
      </c>
      <c r="I5" t="s">
        <v>21</v>
      </c>
      <c r="J5">
        <v>0</v>
      </c>
      <c r="K5">
        <v>1</v>
      </c>
      <c r="L5">
        <v>2.12</v>
      </c>
      <c r="M5">
        <v>4</v>
      </c>
      <c r="N5" s="1">
        <v>0.25</v>
      </c>
      <c r="O5">
        <v>2.12</v>
      </c>
      <c r="P5" t="s">
        <v>77</v>
      </c>
      <c r="Q5" s="1">
        <v>0</v>
      </c>
    </row>
    <row r="6" spans="1:17">
      <c r="A6" t="s">
        <v>19</v>
      </c>
      <c r="B6" t="s">
        <v>53</v>
      </c>
      <c r="C6" t="s">
        <v>84</v>
      </c>
      <c r="D6" t="s">
        <v>79</v>
      </c>
      <c r="E6" t="s">
        <v>58</v>
      </c>
      <c r="F6" t="s">
        <v>55</v>
      </c>
      <c r="G6" t="s">
        <v>76</v>
      </c>
      <c r="H6">
        <v>0</v>
      </c>
      <c r="I6" t="s">
        <v>21</v>
      </c>
      <c r="J6">
        <v>0</v>
      </c>
      <c r="K6">
        <v>0</v>
      </c>
      <c r="L6">
        <v>0</v>
      </c>
      <c r="M6">
        <v>0</v>
      </c>
      <c r="N6" t="s">
        <v>77</v>
      </c>
      <c r="O6">
        <v>0</v>
      </c>
      <c r="P6" t="s">
        <v>77</v>
      </c>
      <c r="Q6" s="1">
        <v>0</v>
      </c>
    </row>
    <row r="7" spans="1:17">
      <c r="A7" t="s">
        <v>19</v>
      </c>
      <c r="B7" t="s">
        <v>53</v>
      </c>
      <c r="C7" t="s">
        <v>85</v>
      </c>
      <c r="D7" t="s">
        <v>82</v>
      </c>
      <c r="E7" t="s">
        <v>58</v>
      </c>
      <c r="F7" t="s">
        <v>55</v>
      </c>
      <c r="G7" t="s">
        <v>80</v>
      </c>
      <c r="H7">
        <v>0</v>
      </c>
      <c r="I7" t="s">
        <v>21</v>
      </c>
      <c r="J7">
        <v>0</v>
      </c>
      <c r="K7">
        <v>1</v>
      </c>
      <c r="L7">
        <v>4.46</v>
      </c>
      <c r="M7">
        <v>5</v>
      </c>
      <c r="N7" s="1">
        <v>0.2</v>
      </c>
      <c r="O7">
        <v>4.46</v>
      </c>
      <c r="P7" t="s">
        <v>77</v>
      </c>
      <c r="Q7" s="1">
        <v>0</v>
      </c>
    </row>
    <row r="8" spans="1:17">
      <c r="A8" t="s">
        <v>19</v>
      </c>
      <c r="B8" t="s">
        <v>53</v>
      </c>
      <c r="C8" t="s">
        <v>86</v>
      </c>
      <c r="D8" t="s">
        <v>75</v>
      </c>
      <c r="E8" t="s">
        <v>58</v>
      </c>
      <c r="F8" t="s">
        <v>55</v>
      </c>
      <c r="G8" t="s">
        <v>80</v>
      </c>
      <c r="H8">
        <v>0</v>
      </c>
      <c r="I8" t="s">
        <v>21</v>
      </c>
      <c r="J8">
        <v>0</v>
      </c>
      <c r="K8">
        <v>0</v>
      </c>
      <c r="L8">
        <v>0</v>
      </c>
      <c r="M8">
        <v>6</v>
      </c>
      <c r="N8" s="1">
        <v>0</v>
      </c>
      <c r="O8">
        <v>0</v>
      </c>
      <c r="P8" t="s">
        <v>77</v>
      </c>
      <c r="Q8" s="1">
        <v>0</v>
      </c>
    </row>
    <row r="9" spans="1:17">
      <c r="A9" t="s">
        <v>19</v>
      </c>
      <c r="B9" t="s">
        <v>53</v>
      </c>
      <c r="C9" t="s">
        <v>87</v>
      </c>
      <c r="D9" t="s">
        <v>79</v>
      </c>
      <c r="E9" t="s">
        <v>58</v>
      </c>
      <c r="F9" t="s">
        <v>55</v>
      </c>
      <c r="G9" t="s">
        <v>80</v>
      </c>
      <c r="H9">
        <v>0</v>
      </c>
      <c r="I9" t="s">
        <v>21</v>
      </c>
      <c r="J9">
        <v>0</v>
      </c>
      <c r="K9">
        <v>0</v>
      </c>
      <c r="L9">
        <v>0</v>
      </c>
      <c r="M9">
        <v>0</v>
      </c>
      <c r="N9" t="s">
        <v>77</v>
      </c>
      <c r="O9">
        <v>0</v>
      </c>
      <c r="P9" t="s">
        <v>77</v>
      </c>
      <c r="Q9" s="1">
        <v>0</v>
      </c>
    </row>
    <row r="10" spans="1:17">
      <c r="A10" t="s">
        <v>19</v>
      </c>
      <c r="B10" t="s">
        <v>53</v>
      </c>
      <c r="C10" t="s">
        <v>88</v>
      </c>
      <c r="D10" t="s">
        <v>75</v>
      </c>
      <c r="E10" t="s">
        <v>58</v>
      </c>
      <c r="F10" t="s">
        <v>55</v>
      </c>
      <c r="G10" t="s">
        <v>80</v>
      </c>
      <c r="H10">
        <v>0</v>
      </c>
      <c r="I10" t="s">
        <v>21</v>
      </c>
      <c r="J10">
        <v>0</v>
      </c>
      <c r="K10">
        <v>8</v>
      </c>
      <c r="L10">
        <v>32.25</v>
      </c>
      <c r="M10">
        <v>228</v>
      </c>
      <c r="N10" s="1">
        <v>3.5099999999999999E-2</v>
      </c>
      <c r="O10">
        <v>4.03</v>
      </c>
      <c r="P10" t="s">
        <v>77</v>
      </c>
      <c r="Q10" s="1">
        <v>0</v>
      </c>
    </row>
    <row r="11" spans="1:17">
      <c r="A11" t="s">
        <v>19</v>
      </c>
      <c r="B11" t="s">
        <v>53</v>
      </c>
      <c r="C11" t="s">
        <v>89</v>
      </c>
      <c r="D11" t="s">
        <v>82</v>
      </c>
      <c r="E11" t="s">
        <v>58</v>
      </c>
      <c r="F11" t="s">
        <v>55</v>
      </c>
      <c r="G11" t="s">
        <v>76</v>
      </c>
      <c r="H11">
        <v>0</v>
      </c>
      <c r="I11" t="s">
        <v>21</v>
      </c>
      <c r="J11">
        <v>0</v>
      </c>
      <c r="K11">
        <v>0</v>
      </c>
      <c r="L11">
        <v>0</v>
      </c>
      <c r="M11">
        <v>0</v>
      </c>
      <c r="N11" t="s">
        <v>77</v>
      </c>
      <c r="O11">
        <v>0</v>
      </c>
      <c r="P11" t="s">
        <v>77</v>
      </c>
      <c r="Q11" s="1">
        <v>0</v>
      </c>
    </row>
    <row r="12" spans="1:17">
      <c r="A12" t="s">
        <v>19</v>
      </c>
      <c r="B12" t="s">
        <v>53</v>
      </c>
      <c r="C12" t="s">
        <v>90</v>
      </c>
      <c r="D12" t="s">
        <v>75</v>
      </c>
      <c r="E12" t="s">
        <v>58</v>
      </c>
      <c r="F12" t="s">
        <v>55</v>
      </c>
      <c r="G12" t="s">
        <v>76</v>
      </c>
      <c r="H12">
        <v>0</v>
      </c>
      <c r="I12" t="s">
        <v>21</v>
      </c>
      <c r="J12">
        <v>0</v>
      </c>
      <c r="K12">
        <v>0</v>
      </c>
      <c r="L12">
        <v>0</v>
      </c>
      <c r="M12">
        <v>0</v>
      </c>
      <c r="N12" t="s">
        <v>77</v>
      </c>
      <c r="O12">
        <v>0</v>
      </c>
      <c r="P12" t="s">
        <v>77</v>
      </c>
      <c r="Q12" s="1">
        <v>0</v>
      </c>
    </row>
    <row r="13" spans="1:17">
      <c r="A13" t="s">
        <v>19</v>
      </c>
      <c r="B13" t="s">
        <v>53</v>
      </c>
      <c r="C13" t="s">
        <v>91</v>
      </c>
      <c r="D13" t="s">
        <v>82</v>
      </c>
      <c r="E13" t="s">
        <v>58</v>
      </c>
      <c r="F13" t="s">
        <v>55</v>
      </c>
      <c r="G13" t="s">
        <v>80</v>
      </c>
      <c r="H13">
        <v>0</v>
      </c>
      <c r="I13" t="s">
        <v>21</v>
      </c>
      <c r="J13">
        <v>0</v>
      </c>
      <c r="K13">
        <v>0</v>
      </c>
      <c r="L13">
        <v>0</v>
      </c>
      <c r="M13">
        <v>0</v>
      </c>
      <c r="N13" t="s">
        <v>77</v>
      </c>
      <c r="O13">
        <v>0</v>
      </c>
      <c r="P13" t="s">
        <v>77</v>
      </c>
      <c r="Q13" s="1">
        <v>0</v>
      </c>
    </row>
    <row r="14" spans="1:17">
      <c r="A14" t="s">
        <v>19</v>
      </c>
      <c r="B14" t="s">
        <v>53</v>
      </c>
      <c r="C14" t="s">
        <v>92</v>
      </c>
      <c r="D14" t="s">
        <v>75</v>
      </c>
      <c r="E14" t="s">
        <v>58</v>
      </c>
      <c r="F14" t="s">
        <v>55</v>
      </c>
      <c r="G14" t="s">
        <v>80</v>
      </c>
      <c r="H14">
        <v>1</v>
      </c>
      <c r="I14" t="s">
        <v>21</v>
      </c>
      <c r="J14">
        <v>28.09</v>
      </c>
      <c r="K14">
        <v>7</v>
      </c>
      <c r="L14">
        <v>28.09</v>
      </c>
      <c r="M14">
        <v>153</v>
      </c>
      <c r="N14" s="1">
        <v>4.58E-2</v>
      </c>
      <c r="O14">
        <v>4.01</v>
      </c>
      <c r="P14" t="s">
        <v>77</v>
      </c>
      <c r="Q14" s="1">
        <v>0.1429</v>
      </c>
    </row>
    <row r="15" spans="1:17">
      <c r="A15" t="s">
        <v>19</v>
      </c>
      <c r="B15" t="s">
        <v>53</v>
      </c>
      <c r="C15" t="s">
        <v>93</v>
      </c>
      <c r="D15" t="s">
        <v>75</v>
      </c>
      <c r="E15" t="s">
        <v>58</v>
      </c>
      <c r="F15" t="s">
        <v>55</v>
      </c>
      <c r="G15" t="s">
        <v>80</v>
      </c>
      <c r="H15">
        <v>0</v>
      </c>
      <c r="I15" t="s">
        <v>21</v>
      </c>
      <c r="J15">
        <v>0</v>
      </c>
      <c r="K15">
        <v>0</v>
      </c>
      <c r="L15">
        <v>0</v>
      </c>
      <c r="M15">
        <v>0</v>
      </c>
      <c r="N15" t="s">
        <v>77</v>
      </c>
      <c r="O15">
        <v>0</v>
      </c>
      <c r="P15" t="s">
        <v>77</v>
      </c>
      <c r="Q15" s="1">
        <v>0</v>
      </c>
    </row>
    <row r="16" spans="1:17">
      <c r="A16" t="s">
        <v>19</v>
      </c>
      <c r="B16" t="s">
        <v>18</v>
      </c>
      <c r="C16" t="s">
        <v>94</v>
      </c>
      <c r="D16" t="s">
        <v>82</v>
      </c>
      <c r="E16" t="s">
        <v>58</v>
      </c>
      <c r="F16" t="s">
        <v>18</v>
      </c>
      <c r="G16" t="s">
        <v>95</v>
      </c>
      <c r="H16">
        <v>0</v>
      </c>
      <c r="I16" t="s">
        <v>21</v>
      </c>
      <c r="J16">
        <v>0</v>
      </c>
      <c r="K16">
        <v>0</v>
      </c>
      <c r="L16">
        <v>0</v>
      </c>
      <c r="M16">
        <v>0</v>
      </c>
      <c r="N16" t="s">
        <v>77</v>
      </c>
      <c r="O16">
        <v>0</v>
      </c>
      <c r="P16" t="s">
        <v>77</v>
      </c>
      <c r="Q16" s="1">
        <v>0</v>
      </c>
    </row>
    <row r="17" spans="1:17">
      <c r="A17" t="s">
        <v>19</v>
      </c>
      <c r="B17" t="s">
        <v>53</v>
      </c>
      <c r="C17" t="s">
        <v>96</v>
      </c>
      <c r="D17" t="s">
        <v>75</v>
      </c>
      <c r="E17" t="s">
        <v>58</v>
      </c>
      <c r="F17" t="s">
        <v>55</v>
      </c>
      <c r="G17" t="s">
        <v>80</v>
      </c>
      <c r="H17">
        <v>0</v>
      </c>
      <c r="I17" t="s">
        <v>21</v>
      </c>
      <c r="J17">
        <v>0</v>
      </c>
      <c r="K17">
        <v>0</v>
      </c>
      <c r="L17">
        <v>0</v>
      </c>
      <c r="M17">
        <v>13</v>
      </c>
      <c r="N17" s="1">
        <v>0</v>
      </c>
      <c r="O17">
        <v>0</v>
      </c>
      <c r="P17">
        <v>3</v>
      </c>
      <c r="Q17" s="1">
        <v>0</v>
      </c>
    </row>
    <row r="18" spans="1:17">
      <c r="A18" t="s">
        <v>19</v>
      </c>
      <c r="B18" t="s">
        <v>53</v>
      </c>
      <c r="C18" t="s">
        <v>97</v>
      </c>
      <c r="D18" t="s">
        <v>79</v>
      </c>
      <c r="E18" t="s">
        <v>58</v>
      </c>
      <c r="F18" t="s">
        <v>55</v>
      </c>
      <c r="G18" t="s">
        <v>80</v>
      </c>
      <c r="H18">
        <v>0</v>
      </c>
      <c r="I18" t="s">
        <v>21</v>
      </c>
      <c r="J18">
        <v>0</v>
      </c>
      <c r="K18">
        <v>0</v>
      </c>
      <c r="L18">
        <v>0</v>
      </c>
      <c r="M18">
        <v>0</v>
      </c>
      <c r="N18" t="s">
        <v>77</v>
      </c>
      <c r="O18">
        <v>0</v>
      </c>
      <c r="P18" t="s">
        <v>77</v>
      </c>
      <c r="Q18" s="1">
        <v>0</v>
      </c>
    </row>
    <row r="19" spans="1:17">
      <c r="A19" t="s">
        <v>19</v>
      </c>
      <c r="B19" t="s">
        <v>18</v>
      </c>
      <c r="C19" t="s">
        <v>98</v>
      </c>
      <c r="D19" t="s">
        <v>75</v>
      </c>
      <c r="E19" t="s">
        <v>58</v>
      </c>
      <c r="F19" t="s">
        <v>18</v>
      </c>
      <c r="G19" t="s">
        <v>95</v>
      </c>
      <c r="H19">
        <v>0</v>
      </c>
      <c r="I19" t="s">
        <v>21</v>
      </c>
      <c r="J19">
        <v>0</v>
      </c>
      <c r="K19">
        <v>28</v>
      </c>
      <c r="L19">
        <v>116.36</v>
      </c>
      <c r="M19">
        <v>538</v>
      </c>
      <c r="N19" s="1">
        <v>5.1999999999999998E-2</v>
      </c>
      <c r="O19">
        <v>4.16</v>
      </c>
      <c r="P19">
        <v>8</v>
      </c>
      <c r="Q19" s="1">
        <v>0</v>
      </c>
    </row>
    <row r="20" spans="1:17">
      <c r="A20" t="s">
        <v>19</v>
      </c>
      <c r="B20" t="s">
        <v>18</v>
      </c>
      <c r="C20" t="s">
        <v>99</v>
      </c>
      <c r="D20" t="s">
        <v>82</v>
      </c>
      <c r="E20" t="s">
        <v>58</v>
      </c>
      <c r="F20" t="s">
        <v>18</v>
      </c>
      <c r="G20" t="s">
        <v>95</v>
      </c>
      <c r="H20">
        <v>0</v>
      </c>
      <c r="I20" t="s">
        <v>21</v>
      </c>
      <c r="J20">
        <v>0</v>
      </c>
      <c r="K20">
        <v>0</v>
      </c>
      <c r="L20">
        <v>0</v>
      </c>
      <c r="M20">
        <v>0</v>
      </c>
      <c r="N20" t="s">
        <v>77</v>
      </c>
      <c r="O20">
        <v>0</v>
      </c>
      <c r="P20" t="s">
        <v>77</v>
      </c>
      <c r="Q20" s="1">
        <v>0</v>
      </c>
    </row>
    <row r="21" spans="1:17">
      <c r="A21" t="s">
        <v>19</v>
      </c>
      <c r="B21" t="s">
        <v>53</v>
      </c>
      <c r="C21" t="s">
        <v>100</v>
      </c>
      <c r="D21" t="s">
        <v>82</v>
      </c>
      <c r="E21" t="s">
        <v>58</v>
      </c>
      <c r="F21" t="s">
        <v>55</v>
      </c>
      <c r="G21" t="s">
        <v>80</v>
      </c>
      <c r="H21">
        <v>0</v>
      </c>
      <c r="I21" t="s">
        <v>21</v>
      </c>
      <c r="J21">
        <v>0</v>
      </c>
      <c r="K21">
        <v>0</v>
      </c>
      <c r="L21">
        <v>0</v>
      </c>
      <c r="M21">
        <v>0</v>
      </c>
      <c r="N21" t="s">
        <v>77</v>
      </c>
      <c r="O21">
        <v>0</v>
      </c>
      <c r="P21" t="s">
        <v>77</v>
      </c>
      <c r="Q21" s="1">
        <v>0</v>
      </c>
    </row>
    <row r="22" spans="1:17">
      <c r="A22" t="s">
        <v>19</v>
      </c>
      <c r="B22" t="s">
        <v>18</v>
      </c>
      <c r="C22" t="s">
        <v>101</v>
      </c>
      <c r="D22" t="s">
        <v>75</v>
      </c>
      <c r="E22" t="s">
        <v>58</v>
      </c>
      <c r="F22" t="s">
        <v>18</v>
      </c>
      <c r="G22" t="s">
        <v>95</v>
      </c>
      <c r="H22">
        <v>0</v>
      </c>
      <c r="I22" t="s">
        <v>21</v>
      </c>
      <c r="J22">
        <v>0</v>
      </c>
      <c r="K22">
        <v>1</v>
      </c>
      <c r="L22">
        <v>5.57</v>
      </c>
      <c r="M22">
        <v>43</v>
      </c>
      <c r="N22" s="1">
        <v>2.3300000000000001E-2</v>
      </c>
      <c r="O22">
        <v>5.57</v>
      </c>
      <c r="P22" t="s">
        <v>77</v>
      </c>
      <c r="Q22" s="1">
        <v>0</v>
      </c>
    </row>
    <row r="23" spans="1:17">
      <c r="A23" t="s">
        <v>19</v>
      </c>
      <c r="B23" t="s">
        <v>53</v>
      </c>
      <c r="C23" t="s">
        <v>102</v>
      </c>
      <c r="D23" t="s">
        <v>82</v>
      </c>
      <c r="E23" t="s">
        <v>58</v>
      </c>
      <c r="F23" t="s">
        <v>55</v>
      </c>
      <c r="G23" t="s">
        <v>80</v>
      </c>
      <c r="H23">
        <v>0</v>
      </c>
      <c r="I23" t="s">
        <v>21</v>
      </c>
      <c r="J23">
        <v>0</v>
      </c>
      <c r="K23">
        <v>0</v>
      </c>
      <c r="L23">
        <v>0</v>
      </c>
      <c r="M23">
        <v>0</v>
      </c>
      <c r="N23" t="s">
        <v>77</v>
      </c>
      <c r="O23">
        <v>0</v>
      </c>
      <c r="P23" t="s">
        <v>77</v>
      </c>
      <c r="Q23" s="1">
        <v>0</v>
      </c>
    </row>
    <row r="24" spans="1:17">
      <c r="A24" t="s">
        <v>19</v>
      </c>
      <c r="B24" t="s">
        <v>53</v>
      </c>
      <c r="C24" t="s">
        <v>103</v>
      </c>
      <c r="D24" t="s">
        <v>79</v>
      </c>
      <c r="E24" t="s">
        <v>58</v>
      </c>
      <c r="F24" t="s">
        <v>55</v>
      </c>
      <c r="G24" t="s">
        <v>80</v>
      </c>
      <c r="H24">
        <v>0</v>
      </c>
      <c r="I24" t="s">
        <v>21</v>
      </c>
      <c r="J24">
        <v>0</v>
      </c>
      <c r="K24">
        <v>0</v>
      </c>
      <c r="L24">
        <v>0</v>
      </c>
      <c r="M24">
        <v>0</v>
      </c>
      <c r="N24" t="s">
        <v>77</v>
      </c>
      <c r="O24">
        <v>0</v>
      </c>
      <c r="P24" t="s">
        <v>77</v>
      </c>
      <c r="Q24" s="1">
        <v>0</v>
      </c>
    </row>
    <row r="25" spans="1:17">
      <c r="A25" t="s">
        <v>19</v>
      </c>
      <c r="B25" t="s">
        <v>53</v>
      </c>
      <c r="C25" t="s">
        <v>104</v>
      </c>
      <c r="D25" t="s">
        <v>75</v>
      </c>
      <c r="E25" t="s">
        <v>58</v>
      </c>
      <c r="F25" t="s">
        <v>55</v>
      </c>
      <c r="G25" t="s">
        <v>80</v>
      </c>
      <c r="H25">
        <v>0</v>
      </c>
      <c r="I25" t="s">
        <v>21</v>
      </c>
      <c r="J25">
        <v>0</v>
      </c>
      <c r="K25">
        <v>0</v>
      </c>
      <c r="L25">
        <v>0</v>
      </c>
      <c r="M25">
        <v>0</v>
      </c>
      <c r="N25" t="s">
        <v>77</v>
      </c>
      <c r="O25">
        <v>0</v>
      </c>
      <c r="P25" t="s">
        <v>77</v>
      </c>
      <c r="Q25" s="1">
        <v>0</v>
      </c>
    </row>
    <row r="26" spans="1:17">
      <c r="A26" t="s">
        <v>19</v>
      </c>
      <c r="B26" t="s">
        <v>53</v>
      </c>
      <c r="C26" t="s">
        <v>105</v>
      </c>
      <c r="D26" t="s">
        <v>75</v>
      </c>
      <c r="E26" t="s">
        <v>58</v>
      </c>
      <c r="F26" t="s">
        <v>55</v>
      </c>
      <c r="G26" t="s">
        <v>76</v>
      </c>
      <c r="H26">
        <v>0</v>
      </c>
      <c r="I26" t="s">
        <v>21</v>
      </c>
      <c r="J26">
        <v>0</v>
      </c>
      <c r="K26">
        <v>0</v>
      </c>
      <c r="L26">
        <v>0</v>
      </c>
      <c r="M26">
        <v>0</v>
      </c>
      <c r="N26" t="s">
        <v>77</v>
      </c>
      <c r="O26">
        <v>0</v>
      </c>
      <c r="P26" t="s">
        <v>77</v>
      </c>
      <c r="Q26" s="1">
        <v>0</v>
      </c>
    </row>
    <row r="27" spans="1:17">
      <c r="A27" t="s">
        <v>19</v>
      </c>
      <c r="B27" t="s">
        <v>53</v>
      </c>
      <c r="C27" t="s">
        <v>106</v>
      </c>
      <c r="D27" t="s">
        <v>82</v>
      </c>
      <c r="E27" t="s">
        <v>58</v>
      </c>
      <c r="F27" t="s">
        <v>55</v>
      </c>
      <c r="G27" t="s">
        <v>76</v>
      </c>
      <c r="H27">
        <v>0</v>
      </c>
      <c r="I27" t="s">
        <v>21</v>
      </c>
      <c r="J27">
        <v>0</v>
      </c>
      <c r="K27">
        <v>0</v>
      </c>
      <c r="L27">
        <v>0</v>
      </c>
      <c r="M27">
        <v>0</v>
      </c>
      <c r="N27" t="s">
        <v>77</v>
      </c>
      <c r="O27">
        <v>0</v>
      </c>
      <c r="P27" t="s">
        <v>77</v>
      </c>
      <c r="Q27" s="1">
        <v>0</v>
      </c>
    </row>
    <row r="28" spans="1:17">
      <c r="A28" t="s">
        <v>19</v>
      </c>
      <c r="B28" t="s">
        <v>18</v>
      </c>
      <c r="C28" t="s">
        <v>107</v>
      </c>
      <c r="D28" t="s">
        <v>79</v>
      </c>
      <c r="E28" t="s">
        <v>58</v>
      </c>
      <c r="F28" t="s">
        <v>18</v>
      </c>
      <c r="G28" t="s">
        <v>95</v>
      </c>
      <c r="H28">
        <v>0</v>
      </c>
      <c r="I28" t="s">
        <v>21</v>
      </c>
      <c r="J28">
        <v>0</v>
      </c>
      <c r="K28">
        <v>0</v>
      </c>
      <c r="L28">
        <v>0</v>
      </c>
      <c r="M28">
        <v>0</v>
      </c>
      <c r="N28" t="s">
        <v>77</v>
      </c>
      <c r="O28">
        <v>0</v>
      </c>
      <c r="P28" t="s">
        <v>77</v>
      </c>
      <c r="Q28" s="1">
        <v>0</v>
      </c>
    </row>
    <row r="29" spans="1:17">
      <c r="A29" t="s">
        <v>19</v>
      </c>
      <c r="B29" t="s">
        <v>53</v>
      </c>
      <c r="C29" t="s">
        <v>108</v>
      </c>
      <c r="D29" t="s">
        <v>79</v>
      </c>
      <c r="E29" t="s">
        <v>58</v>
      </c>
      <c r="F29" t="s">
        <v>55</v>
      </c>
      <c r="G29" t="s">
        <v>80</v>
      </c>
      <c r="H29">
        <v>0</v>
      </c>
      <c r="I29" t="s">
        <v>21</v>
      </c>
      <c r="J29">
        <v>0</v>
      </c>
      <c r="K29">
        <v>0</v>
      </c>
      <c r="L29">
        <v>0</v>
      </c>
      <c r="M29">
        <v>0</v>
      </c>
      <c r="N29" t="s">
        <v>77</v>
      </c>
      <c r="O29">
        <v>0</v>
      </c>
      <c r="P29">
        <v>3</v>
      </c>
      <c r="Q29" s="1">
        <v>0</v>
      </c>
    </row>
    <row r="30" spans="1:17">
      <c r="A30" t="s">
        <v>19</v>
      </c>
      <c r="B30" t="s">
        <v>53</v>
      </c>
      <c r="C30" t="s">
        <v>109</v>
      </c>
      <c r="D30" t="s">
        <v>79</v>
      </c>
      <c r="E30" t="s">
        <v>58</v>
      </c>
      <c r="F30" t="s">
        <v>55</v>
      </c>
      <c r="G30" t="s">
        <v>80</v>
      </c>
      <c r="H30">
        <v>0</v>
      </c>
      <c r="I30" t="s">
        <v>21</v>
      </c>
      <c r="J30">
        <v>0</v>
      </c>
      <c r="K30">
        <v>0</v>
      </c>
      <c r="L30">
        <v>0</v>
      </c>
      <c r="M30">
        <v>0</v>
      </c>
      <c r="N30" t="s">
        <v>77</v>
      </c>
      <c r="O30">
        <v>0</v>
      </c>
      <c r="P30" t="s">
        <v>77</v>
      </c>
      <c r="Q30" s="1">
        <v>0</v>
      </c>
    </row>
    <row r="31" spans="1:17">
      <c r="A31" t="s">
        <v>19</v>
      </c>
      <c r="B31" t="s">
        <v>53</v>
      </c>
      <c r="C31" t="s">
        <v>110</v>
      </c>
      <c r="D31" t="s">
        <v>82</v>
      </c>
      <c r="E31" t="s">
        <v>58</v>
      </c>
      <c r="F31" t="s">
        <v>55</v>
      </c>
      <c r="G31" t="s">
        <v>76</v>
      </c>
      <c r="H31">
        <v>0</v>
      </c>
      <c r="I31" t="s">
        <v>21</v>
      </c>
      <c r="J31">
        <v>0</v>
      </c>
      <c r="K31">
        <v>0</v>
      </c>
      <c r="L31">
        <v>0</v>
      </c>
      <c r="M31">
        <v>0</v>
      </c>
      <c r="N31" t="s">
        <v>77</v>
      </c>
      <c r="O31">
        <v>0</v>
      </c>
      <c r="P31" t="s">
        <v>77</v>
      </c>
      <c r="Q31" s="1">
        <v>0</v>
      </c>
    </row>
    <row r="32" spans="1:17">
      <c r="A32" t="s">
        <v>19</v>
      </c>
      <c r="B32" t="s">
        <v>53</v>
      </c>
      <c r="C32" t="s">
        <v>111</v>
      </c>
      <c r="D32" t="s">
        <v>75</v>
      </c>
      <c r="E32" t="s">
        <v>58</v>
      </c>
      <c r="F32" t="s">
        <v>55</v>
      </c>
      <c r="G32" t="s">
        <v>80</v>
      </c>
      <c r="H32">
        <v>0</v>
      </c>
      <c r="I32" t="s">
        <v>21</v>
      </c>
      <c r="J32">
        <v>0</v>
      </c>
      <c r="K32">
        <v>0</v>
      </c>
      <c r="L32">
        <v>0</v>
      </c>
      <c r="M32">
        <v>0</v>
      </c>
      <c r="N32" t="s">
        <v>77</v>
      </c>
      <c r="O32">
        <v>0</v>
      </c>
      <c r="P32" t="s">
        <v>77</v>
      </c>
      <c r="Q32" s="1">
        <v>0</v>
      </c>
    </row>
    <row r="33" spans="1:17">
      <c r="A33" t="s">
        <v>19</v>
      </c>
      <c r="B33" t="s">
        <v>53</v>
      </c>
      <c r="C33" t="s">
        <v>112</v>
      </c>
      <c r="D33" t="s">
        <v>82</v>
      </c>
      <c r="E33" t="s">
        <v>58</v>
      </c>
      <c r="F33" t="s">
        <v>55</v>
      </c>
      <c r="G33" t="s">
        <v>80</v>
      </c>
      <c r="H33">
        <v>0</v>
      </c>
      <c r="I33" t="s">
        <v>21</v>
      </c>
      <c r="J33">
        <v>0</v>
      </c>
      <c r="K33">
        <v>0</v>
      </c>
      <c r="L33">
        <v>0</v>
      </c>
      <c r="M33">
        <v>0</v>
      </c>
      <c r="N33" t="s">
        <v>77</v>
      </c>
      <c r="O33">
        <v>0</v>
      </c>
      <c r="P33" t="s">
        <v>77</v>
      </c>
      <c r="Q33" s="1">
        <v>0</v>
      </c>
    </row>
    <row r="34" spans="1:17">
      <c r="A34" t="s">
        <v>19</v>
      </c>
      <c r="B34" t="s">
        <v>53</v>
      </c>
      <c r="C34" t="s">
        <v>113</v>
      </c>
      <c r="D34" t="s">
        <v>75</v>
      </c>
      <c r="E34" t="s">
        <v>58</v>
      </c>
      <c r="F34" t="s">
        <v>55</v>
      </c>
      <c r="G34" t="s">
        <v>76</v>
      </c>
      <c r="H34">
        <v>0</v>
      </c>
      <c r="I34" t="s">
        <v>21</v>
      </c>
      <c r="J34">
        <v>0</v>
      </c>
      <c r="K34">
        <v>0</v>
      </c>
      <c r="L34">
        <v>0</v>
      </c>
      <c r="M34">
        <v>0</v>
      </c>
      <c r="N34" t="s">
        <v>77</v>
      </c>
      <c r="O34">
        <v>0</v>
      </c>
      <c r="P34" t="s">
        <v>77</v>
      </c>
      <c r="Q34" s="1">
        <v>0</v>
      </c>
    </row>
    <row r="35" spans="1:17">
      <c r="A35" t="s">
        <v>19</v>
      </c>
      <c r="B35" t="s">
        <v>53</v>
      </c>
      <c r="C35" t="s">
        <v>114</v>
      </c>
      <c r="D35" t="s">
        <v>79</v>
      </c>
      <c r="E35" t="s">
        <v>58</v>
      </c>
      <c r="F35" t="s">
        <v>55</v>
      </c>
      <c r="G35" t="s">
        <v>80</v>
      </c>
      <c r="H35">
        <v>0</v>
      </c>
      <c r="I35" t="s">
        <v>21</v>
      </c>
      <c r="J35">
        <v>0</v>
      </c>
      <c r="K35">
        <v>0</v>
      </c>
      <c r="L35">
        <v>0</v>
      </c>
      <c r="M35">
        <v>0</v>
      </c>
      <c r="N35" t="s">
        <v>77</v>
      </c>
      <c r="O35">
        <v>0</v>
      </c>
      <c r="P35" t="s">
        <v>77</v>
      </c>
      <c r="Q35" s="1">
        <v>0</v>
      </c>
    </row>
    <row r="36" spans="1:17">
      <c r="A36" t="s">
        <v>19</v>
      </c>
      <c r="B36" t="s">
        <v>18</v>
      </c>
      <c r="C36" t="s">
        <v>115</v>
      </c>
      <c r="D36" t="s">
        <v>79</v>
      </c>
      <c r="E36" t="s">
        <v>58</v>
      </c>
      <c r="F36" t="s">
        <v>18</v>
      </c>
      <c r="G36" t="s">
        <v>95</v>
      </c>
      <c r="H36">
        <v>0</v>
      </c>
      <c r="I36" t="s">
        <v>21</v>
      </c>
      <c r="J36">
        <v>0</v>
      </c>
      <c r="K36">
        <v>0</v>
      </c>
      <c r="L36">
        <v>0</v>
      </c>
      <c r="M36">
        <v>0</v>
      </c>
      <c r="N36" t="s">
        <v>77</v>
      </c>
      <c r="O36">
        <v>0</v>
      </c>
      <c r="P36">
        <v>8</v>
      </c>
      <c r="Q36" s="1">
        <v>0</v>
      </c>
    </row>
    <row r="37" spans="1:17">
      <c r="A37" t="s">
        <v>19</v>
      </c>
      <c r="B37" t="s">
        <v>53</v>
      </c>
      <c r="C37" t="s">
        <v>116</v>
      </c>
      <c r="D37" t="s">
        <v>75</v>
      </c>
      <c r="E37" t="s">
        <v>58</v>
      </c>
      <c r="F37" t="s">
        <v>55</v>
      </c>
      <c r="G37" t="s">
        <v>80</v>
      </c>
      <c r="H37">
        <v>0</v>
      </c>
      <c r="I37" t="s">
        <v>21</v>
      </c>
      <c r="J37">
        <v>0</v>
      </c>
      <c r="K37">
        <v>2</v>
      </c>
      <c r="L37">
        <v>7.72</v>
      </c>
      <c r="M37">
        <v>43</v>
      </c>
      <c r="N37" s="1">
        <v>4.65E-2</v>
      </c>
      <c r="O37">
        <v>3.86</v>
      </c>
      <c r="P37" t="s">
        <v>77</v>
      </c>
      <c r="Q37" s="1">
        <v>0</v>
      </c>
    </row>
    <row r="38" spans="1:17">
      <c r="A38" t="s">
        <v>19</v>
      </c>
      <c r="B38" t="s">
        <v>53</v>
      </c>
      <c r="C38" t="s">
        <v>117</v>
      </c>
      <c r="D38" t="s">
        <v>79</v>
      </c>
      <c r="E38" t="s">
        <v>58</v>
      </c>
      <c r="F38" t="s">
        <v>55</v>
      </c>
      <c r="G38" t="s">
        <v>80</v>
      </c>
      <c r="H38">
        <v>0</v>
      </c>
      <c r="I38" t="s">
        <v>21</v>
      </c>
      <c r="J38">
        <v>0</v>
      </c>
      <c r="K38">
        <v>0</v>
      </c>
      <c r="L38">
        <v>0</v>
      </c>
      <c r="M38">
        <v>4</v>
      </c>
      <c r="N38" s="1">
        <v>0</v>
      </c>
      <c r="O38">
        <v>0</v>
      </c>
      <c r="P38" t="s">
        <v>77</v>
      </c>
      <c r="Q38" s="1">
        <v>0</v>
      </c>
    </row>
    <row r="39" spans="1:17">
      <c r="A39" t="s">
        <v>19</v>
      </c>
      <c r="B39" t="s">
        <v>53</v>
      </c>
      <c r="C39" t="s">
        <v>118</v>
      </c>
      <c r="D39" t="s">
        <v>79</v>
      </c>
      <c r="E39" t="s">
        <v>58</v>
      </c>
      <c r="F39" t="s">
        <v>55</v>
      </c>
      <c r="G39" t="s">
        <v>76</v>
      </c>
      <c r="H39">
        <v>0</v>
      </c>
      <c r="I39" t="s">
        <v>21</v>
      </c>
      <c r="J39">
        <v>0</v>
      </c>
      <c r="K39">
        <v>0</v>
      </c>
      <c r="L39">
        <v>0</v>
      </c>
      <c r="M39">
        <v>0</v>
      </c>
      <c r="N39" t="s">
        <v>77</v>
      </c>
      <c r="O39">
        <v>0</v>
      </c>
      <c r="P39" t="s">
        <v>77</v>
      </c>
      <c r="Q39" s="1">
        <v>0</v>
      </c>
    </row>
    <row r="40" spans="1:17">
      <c r="A40" t="s">
        <v>19</v>
      </c>
      <c r="B40" t="s">
        <v>18</v>
      </c>
      <c r="C40" t="s">
        <v>119</v>
      </c>
      <c r="D40" t="s">
        <v>82</v>
      </c>
      <c r="E40" t="s">
        <v>58</v>
      </c>
      <c r="F40" t="s">
        <v>18</v>
      </c>
      <c r="G40" t="s">
        <v>95</v>
      </c>
      <c r="H40">
        <v>0</v>
      </c>
      <c r="I40" t="s">
        <v>21</v>
      </c>
      <c r="J40">
        <v>0</v>
      </c>
      <c r="K40">
        <v>0</v>
      </c>
      <c r="L40">
        <v>0</v>
      </c>
      <c r="M40">
        <v>0</v>
      </c>
      <c r="N40" t="s">
        <v>77</v>
      </c>
      <c r="O40">
        <v>0</v>
      </c>
      <c r="P40" t="s">
        <v>77</v>
      </c>
      <c r="Q40" s="1">
        <v>0</v>
      </c>
    </row>
    <row r="41" spans="1:17">
      <c r="A41" t="s">
        <v>19</v>
      </c>
      <c r="B41" t="s">
        <v>53</v>
      </c>
      <c r="C41" t="s">
        <v>120</v>
      </c>
      <c r="D41" t="s">
        <v>79</v>
      </c>
      <c r="E41" t="s">
        <v>58</v>
      </c>
      <c r="F41" t="s">
        <v>55</v>
      </c>
      <c r="G41" t="s">
        <v>80</v>
      </c>
      <c r="H41">
        <v>0</v>
      </c>
      <c r="I41" t="s">
        <v>21</v>
      </c>
      <c r="J41">
        <v>0</v>
      </c>
      <c r="K41">
        <v>0</v>
      </c>
      <c r="L41">
        <v>0</v>
      </c>
      <c r="M41">
        <v>0</v>
      </c>
      <c r="N41" t="s">
        <v>77</v>
      </c>
      <c r="O41">
        <v>0</v>
      </c>
      <c r="P41" t="s">
        <v>77</v>
      </c>
      <c r="Q41" s="1">
        <v>0</v>
      </c>
    </row>
    <row r="42" spans="1:17">
      <c r="A42" t="s">
        <v>19</v>
      </c>
      <c r="B42" t="s">
        <v>53</v>
      </c>
      <c r="C42" t="s">
        <v>121</v>
      </c>
      <c r="D42" t="s">
        <v>75</v>
      </c>
      <c r="E42" t="s">
        <v>58</v>
      </c>
      <c r="F42" t="s">
        <v>55</v>
      </c>
      <c r="G42" t="s">
        <v>80</v>
      </c>
      <c r="H42">
        <v>0</v>
      </c>
      <c r="I42" t="s">
        <v>21</v>
      </c>
      <c r="J42">
        <v>0</v>
      </c>
      <c r="K42">
        <v>0</v>
      </c>
      <c r="L42">
        <v>0</v>
      </c>
      <c r="M42">
        <v>4</v>
      </c>
      <c r="N42" s="1">
        <v>0</v>
      </c>
      <c r="O42">
        <v>0</v>
      </c>
      <c r="P42" t="s">
        <v>77</v>
      </c>
      <c r="Q42" s="1">
        <v>0</v>
      </c>
    </row>
    <row r="43" spans="1:17">
      <c r="A43" t="s">
        <v>19</v>
      </c>
      <c r="B43" t="s">
        <v>18</v>
      </c>
      <c r="C43" t="s">
        <v>122</v>
      </c>
      <c r="D43" t="s">
        <v>79</v>
      </c>
      <c r="E43" t="s">
        <v>58</v>
      </c>
      <c r="F43" t="s">
        <v>18</v>
      </c>
      <c r="G43" t="s">
        <v>95</v>
      </c>
      <c r="H43">
        <v>0</v>
      </c>
      <c r="I43" t="s">
        <v>21</v>
      </c>
      <c r="J43">
        <v>0</v>
      </c>
      <c r="K43">
        <v>0</v>
      </c>
      <c r="L43">
        <v>0</v>
      </c>
      <c r="M43">
        <v>0</v>
      </c>
      <c r="N43" t="s">
        <v>77</v>
      </c>
      <c r="O43">
        <v>0</v>
      </c>
      <c r="P43" t="s">
        <v>77</v>
      </c>
      <c r="Q43" s="1">
        <v>0</v>
      </c>
    </row>
    <row r="44" spans="1:17">
      <c r="A44" t="s">
        <v>19</v>
      </c>
      <c r="B44" t="s">
        <v>53</v>
      </c>
      <c r="C44" t="s">
        <v>123</v>
      </c>
      <c r="D44" t="s">
        <v>82</v>
      </c>
      <c r="E44" t="s">
        <v>58</v>
      </c>
      <c r="F44" t="s">
        <v>55</v>
      </c>
      <c r="G44" t="s">
        <v>80</v>
      </c>
      <c r="H44">
        <v>0</v>
      </c>
      <c r="I44" t="s">
        <v>21</v>
      </c>
      <c r="J44">
        <v>0</v>
      </c>
      <c r="K44">
        <v>0</v>
      </c>
      <c r="L44">
        <v>0</v>
      </c>
      <c r="M44">
        <v>0</v>
      </c>
      <c r="N44" t="s">
        <v>77</v>
      </c>
      <c r="O44">
        <v>0</v>
      </c>
      <c r="P44" t="s">
        <v>77</v>
      </c>
      <c r="Q44" s="1">
        <v>0</v>
      </c>
    </row>
    <row r="45" spans="1:17">
      <c r="A45" t="s">
        <v>19</v>
      </c>
      <c r="B45" t="s">
        <v>18</v>
      </c>
      <c r="C45" t="s">
        <v>124</v>
      </c>
      <c r="D45" t="s">
        <v>82</v>
      </c>
      <c r="E45" t="s">
        <v>58</v>
      </c>
      <c r="F45" t="s">
        <v>18</v>
      </c>
      <c r="G45" t="s">
        <v>95</v>
      </c>
      <c r="H45">
        <v>0</v>
      </c>
      <c r="I45" t="s">
        <v>21</v>
      </c>
      <c r="J45">
        <v>0</v>
      </c>
      <c r="K45">
        <v>0</v>
      </c>
      <c r="L45">
        <v>0</v>
      </c>
      <c r="M45">
        <v>4</v>
      </c>
      <c r="N45" s="1">
        <v>0</v>
      </c>
      <c r="O45">
        <v>0</v>
      </c>
      <c r="P45">
        <v>8</v>
      </c>
      <c r="Q45" s="1">
        <v>0</v>
      </c>
    </row>
    <row r="46" spans="1:17">
      <c r="A46" t="s">
        <v>19</v>
      </c>
      <c r="B46" t="s">
        <v>53</v>
      </c>
      <c r="C46" t="s">
        <v>125</v>
      </c>
      <c r="D46" t="s">
        <v>82</v>
      </c>
      <c r="E46" t="s">
        <v>58</v>
      </c>
      <c r="F46" t="s">
        <v>55</v>
      </c>
      <c r="G46" t="s">
        <v>80</v>
      </c>
      <c r="H46">
        <v>0</v>
      </c>
      <c r="I46" t="s">
        <v>21</v>
      </c>
      <c r="J46">
        <v>0</v>
      </c>
      <c r="K46">
        <v>0</v>
      </c>
      <c r="L46">
        <v>0</v>
      </c>
      <c r="M46">
        <v>0</v>
      </c>
      <c r="N46" t="s">
        <v>77</v>
      </c>
      <c r="O46">
        <v>0</v>
      </c>
      <c r="P46" t="s">
        <v>77</v>
      </c>
      <c r="Q46" s="1">
        <v>0</v>
      </c>
    </row>
    <row r="47" spans="1:17">
      <c r="A47" t="s">
        <v>19</v>
      </c>
      <c r="B47" t="s">
        <v>53</v>
      </c>
      <c r="C47" t="s">
        <v>126</v>
      </c>
      <c r="D47" t="s">
        <v>75</v>
      </c>
      <c r="E47" t="s">
        <v>58</v>
      </c>
      <c r="F47" t="s">
        <v>55</v>
      </c>
      <c r="G47" t="s">
        <v>80</v>
      </c>
      <c r="H47">
        <v>0</v>
      </c>
      <c r="I47" t="s">
        <v>21</v>
      </c>
      <c r="J47">
        <v>0</v>
      </c>
      <c r="K47">
        <v>0</v>
      </c>
      <c r="L47">
        <v>0</v>
      </c>
      <c r="M47">
        <v>0</v>
      </c>
      <c r="N47" t="s">
        <v>77</v>
      </c>
      <c r="O47">
        <v>0</v>
      </c>
      <c r="P47" t="s">
        <v>77</v>
      </c>
      <c r="Q47" s="1">
        <v>0</v>
      </c>
    </row>
    <row r="48" spans="1:17">
      <c r="A48" t="s">
        <v>19</v>
      </c>
      <c r="B48" t="s">
        <v>53</v>
      </c>
      <c r="C48" t="s">
        <v>127</v>
      </c>
      <c r="D48" t="s">
        <v>75</v>
      </c>
      <c r="E48" t="s">
        <v>58</v>
      </c>
      <c r="F48" t="s">
        <v>55</v>
      </c>
      <c r="G48" t="s">
        <v>80</v>
      </c>
      <c r="H48">
        <v>0</v>
      </c>
      <c r="I48" t="s">
        <v>21</v>
      </c>
      <c r="J48">
        <v>0</v>
      </c>
      <c r="K48">
        <v>0</v>
      </c>
      <c r="L48">
        <v>0</v>
      </c>
      <c r="M48">
        <v>12</v>
      </c>
      <c r="N48" s="1">
        <v>0</v>
      </c>
      <c r="O48">
        <v>0</v>
      </c>
      <c r="P48" t="s">
        <v>77</v>
      </c>
      <c r="Q48" s="1">
        <v>0</v>
      </c>
    </row>
    <row r="49" spans="1:17">
      <c r="A49" t="s">
        <v>19</v>
      </c>
      <c r="B49" t="s">
        <v>53</v>
      </c>
      <c r="C49" t="s">
        <v>128</v>
      </c>
      <c r="D49" t="s">
        <v>79</v>
      </c>
      <c r="E49" t="s">
        <v>58</v>
      </c>
      <c r="F49" t="s">
        <v>55</v>
      </c>
      <c r="G49" t="s">
        <v>80</v>
      </c>
      <c r="H49">
        <v>0</v>
      </c>
      <c r="I49" t="s">
        <v>21</v>
      </c>
      <c r="J49">
        <v>0</v>
      </c>
      <c r="K49">
        <v>0</v>
      </c>
      <c r="L49">
        <v>0</v>
      </c>
      <c r="M49">
        <v>0</v>
      </c>
      <c r="N49" t="s">
        <v>77</v>
      </c>
      <c r="O49">
        <v>0</v>
      </c>
      <c r="P49" t="s">
        <v>77</v>
      </c>
      <c r="Q49" s="1">
        <v>0</v>
      </c>
    </row>
    <row r="50" spans="1:17">
      <c r="A50" t="s">
        <v>19</v>
      </c>
      <c r="B50" t="s">
        <v>53</v>
      </c>
      <c r="C50" t="s">
        <v>129</v>
      </c>
      <c r="D50" t="s">
        <v>75</v>
      </c>
      <c r="E50" t="s">
        <v>54</v>
      </c>
      <c r="F50" t="s">
        <v>55</v>
      </c>
      <c r="G50" t="s">
        <v>130</v>
      </c>
      <c r="H50">
        <v>0</v>
      </c>
      <c r="I50" t="s">
        <v>21</v>
      </c>
      <c r="J50">
        <v>0</v>
      </c>
      <c r="K50">
        <v>0</v>
      </c>
      <c r="L50">
        <v>0</v>
      </c>
      <c r="M50">
        <v>0</v>
      </c>
      <c r="N50" t="s">
        <v>77</v>
      </c>
      <c r="O50">
        <v>0</v>
      </c>
      <c r="P50" t="s">
        <v>77</v>
      </c>
      <c r="Q50" s="1">
        <v>0</v>
      </c>
    </row>
    <row r="51" spans="1:17">
      <c r="A51" t="s">
        <v>19</v>
      </c>
      <c r="B51" t="s">
        <v>53</v>
      </c>
      <c r="C51" t="s">
        <v>131</v>
      </c>
      <c r="D51" t="s">
        <v>75</v>
      </c>
      <c r="E51" t="s">
        <v>54</v>
      </c>
      <c r="F51" t="s">
        <v>55</v>
      </c>
      <c r="G51" t="s">
        <v>130</v>
      </c>
      <c r="H51">
        <v>0</v>
      </c>
      <c r="I51" t="s">
        <v>21</v>
      </c>
      <c r="J51">
        <v>0</v>
      </c>
      <c r="K51">
        <v>0</v>
      </c>
      <c r="L51">
        <v>0</v>
      </c>
      <c r="M51">
        <v>0</v>
      </c>
      <c r="N51" t="s">
        <v>77</v>
      </c>
      <c r="O51">
        <v>0</v>
      </c>
      <c r="P51" t="s">
        <v>77</v>
      </c>
      <c r="Q51" s="1">
        <v>0</v>
      </c>
    </row>
    <row r="52" spans="1:17">
      <c r="A52" t="s">
        <v>19</v>
      </c>
      <c r="B52" t="s">
        <v>53</v>
      </c>
      <c r="C52" t="s">
        <v>132</v>
      </c>
      <c r="D52" t="s">
        <v>75</v>
      </c>
      <c r="E52" t="s">
        <v>54</v>
      </c>
      <c r="F52" t="s">
        <v>55</v>
      </c>
      <c r="G52" t="s">
        <v>130</v>
      </c>
      <c r="H52">
        <v>0</v>
      </c>
      <c r="I52" t="s">
        <v>21</v>
      </c>
      <c r="J52">
        <v>0</v>
      </c>
      <c r="K52">
        <v>0</v>
      </c>
      <c r="L52">
        <v>0</v>
      </c>
      <c r="M52">
        <v>0</v>
      </c>
      <c r="N52" t="s">
        <v>77</v>
      </c>
      <c r="O52">
        <v>0</v>
      </c>
      <c r="P52" t="s">
        <v>77</v>
      </c>
      <c r="Q52" s="1">
        <v>0</v>
      </c>
    </row>
    <row r="53" spans="1:17">
      <c r="A53" t="s">
        <v>19</v>
      </c>
      <c r="B53" t="s">
        <v>53</v>
      </c>
      <c r="C53" t="s">
        <v>133</v>
      </c>
      <c r="D53" t="s">
        <v>75</v>
      </c>
      <c r="E53" t="s">
        <v>54</v>
      </c>
      <c r="F53" t="s">
        <v>55</v>
      </c>
      <c r="G53" t="s">
        <v>130</v>
      </c>
      <c r="H53">
        <v>0</v>
      </c>
      <c r="I53" t="s">
        <v>21</v>
      </c>
      <c r="J53">
        <v>0</v>
      </c>
      <c r="K53">
        <v>0</v>
      </c>
      <c r="L53">
        <v>0</v>
      </c>
      <c r="M53">
        <v>1</v>
      </c>
      <c r="N53" s="1">
        <v>0</v>
      </c>
      <c r="O53">
        <v>0</v>
      </c>
      <c r="P53" t="s">
        <v>77</v>
      </c>
      <c r="Q53" s="1">
        <v>0</v>
      </c>
    </row>
    <row r="54" spans="1:17">
      <c r="A54" t="s">
        <v>19</v>
      </c>
      <c r="B54" t="s">
        <v>53</v>
      </c>
      <c r="C54" t="s">
        <v>134</v>
      </c>
      <c r="D54" t="s">
        <v>82</v>
      </c>
      <c r="E54" t="s">
        <v>54</v>
      </c>
      <c r="F54" t="s">
        <v>55</v>
      </c>
      <c r="G54" t="s">
        <v>130</v>
      </c>
      <c r="H54">
        <v>0</v>
      </c>
      <c r="I54" t="s">
        <v>21</v>
      </c>
      <c r="J54">
        <v>0</v>
      </c>
      <c r="K54">
        <v>0</v>
      </c>
      <c r="L54">
        <v>0</v>
      </c>
      <c r="M54">
        <v>0</v>
      </c>
      <c r="N54" t="s">
        <v>77</v>
      </c>
      <c r="O54">
        <v>0</v>
      </c>
      <c r="P54" t="s">
        <v>77</v>
      </c>
      <c r="Q54" s="1">
        <v>0</v>
      </c>
    </row>
    <row r="55" spans="1:17">
      <c r="A55" t="s">
        <v>19</v>
      </c>
      <c r="B55" t="s">
        <v>53</v>
      </c>
      <c r="C55" t="s">
        <v>135</v>
      </c>
      <c r="D55" t="s">
        <v>75</v>
      </c>
      <c r="E55" t="s">
        <v>54</v>
      </c>
      <c r="F55" t="s">
        <v>55</v>
      </c>
      <c r="G55" t="s">
        <v>130</v>
      </c>
      <c r="H55">
        <v>0</v>
      </c>
      <c r="I55" t="s">
        <v>21</v>
      </c>
      <c r="J55">
        <v>0</v>
      </c>
      <c r="K55">
        <v>0</v>
      </c>
      <c r="L55">
        <v>0</v>
      </c>
      <c r="M55">
        <v>0</v>
      </c>
      <c r="N55" t="s">
        <v>77</v>
      </c>
      <c r="O55">
        <v>0</v>
      </c>
      <c r="P55" t="s">
        <v>77</v>
      </c>
      <c r="Q55" s="1">
        <v>0</v>
      </c>
    </row>
    <row r="56" spans="1:17">
      <c r="A56" t="s">
        <v>19</v>
      </c>
      <c r="B56" t="s">
        <v>53</v>
      </c>
      <c r="C56" t="s">
        <v>136</v>
      </c>
      <c r="D56" t="s">
        <v>75</v>
      </c>
      <c r="E56" t="s">
        <v>54</v>
      </c>
      <c r="F56" t="s">
        <v>55</v>
      </c>
      <c r="G56" t="s">
        <v>130</v>
      </c>
      <c r="H56">
        <v>0</v>
      </c>
      <c r="I56" t="s">
        <v>21</v>
      </c>
      <c r="J56">
        <v>0</v>
      </c>
      <c r="K56">
        <v>0</v>
      </c>
      <c r="L56">
        <v>0</v>
      </c>
      <c r="M56">
        <v>0</v>
      </c>
      <c r="N56" t="s">
        <v>77</v>
      </c>
      <c r="O56">
        <v>0</v>
      </c>
      <c r="P56" t="s">
        <v>77</v>
      </c>
      <c r="Q56" s="1">
        <v>0</v>
      </c>
    </row>
    <row r="57" spans="1:17">
      <c r="A57" t="s">
        <v>19</v>
      </c>
      <c r="B57" t="s">
        <v>53</v>
      </c>
      <c r="C57" t="s">
        <v>137</v>
      </c>
      <c r="D57" t="s">
        <v>75</v>
      </c>
      <c r="E57" t="s">
        <v>54</v>
      </c>
      <c r="F57" t="s">
        <v>55</v>
      </c>
      <c r="G57" t="s">
        <v>130</v>
      </c>
      <c r="H57">
        <v>0</v>
      </c>
      <c r="I57" t="s">
        <v>21</v>
      </c>
      <c r="J57">
        <v>0</v>
      </c>
      <c r="K57">
        <v>0</v>
      </c>
      <c r="L57">
        <v>0</v>
      </c>
      <c r="M57">
        <v>0</v>
      </c>
      <c r="N57" t="s">
        <v>77</v>
      </c>
      <c r="O57">
        <v>0</v>
      </c>
      <c r="P57" t="s">
        <v>77</v>
      </c>
      <c r="Q57" s="1">
        <v>0</v>
      </c>
    </row>
    <row r="58" spans="1:17">
      <c r="A58" t="s">
        <v>19</v>
      </c>
      <c r="B58" t="s">
        <v>53</v>
      </c>
      <c r="C58" t="s">
        <v>138</v>
      </c>
      <c r="D58" t="s">
        <v>75</v>
      </c>
      <c r="E58" t="s">
        <v>54</v>
      </c>
      <c r="F58" t="s">
        <v>55</v>
      </c>
      <c r="G58" t="s">
        <v>130</v>
      </c>
      <c r="H58">
        <v>0</v>
      </c>
      <c r="I58" t="s">
        <v>21</v>
      </c>
      <c r="J58">
        <v>0</v>
      </c>
      <c r="K58">
        <v>0</v>
      </c>
      <c r="L58">
        <v>0</v>
      </c>
      <c r="M58">
        <v>0</v>
      </c>
      <c r="N58" t="s">
        <v>77</v>
      </c>
      <c r="O58">
        <v>0</v>
      </c>
      <c r="P58" t="s">
        <v>77</v>
      </c>
      <c r="Q58" s="1">
        <v>0</v>
      </c>
    </row>
    <row r="59" spans="1:17">
      <c r="A59" t="s">
        <v>19</v>
      </c>
      <c r="B59" t="s">
        <v>53</v>
      </c>
      <c r="C59" t="s">
        <v>139</v>
      </c>
      <c r="D59" t="s">
        <v>75</v>
      </c>
      <c r="E59" t="s">
        <v>54</v>
      </c>
      <c r="F59" t="s">
        <v>55</v>
      </c>
      <c r="G59" t="s">
        <v>130</v>
      </c>
      <c r="H59">
        <v>0</v>
      </c>
      <c r="I59" t="s">
        <v>21</v>
      </c>
      <c r="J59">
        <v>0</v>
      </c>
      <c r="K59">
        <v>0</v>
      </c>
      <c r="L59">
        <v>0</v>
      </c>
      <c r="M59">
        <v>0</v>
      </c>
      <c r="N59" t="s">
        <v>77</v>
      </c>
      <c r="O59">
        <v>0</v>
      </c>
      <c r="P59" t="s">
        <v>77</v>
      </c>
      <c r="Q59" s="1">
        <v>0</v>
      </c>
    </row>
    <row r="60" spans="1:17">
      <c r="A60" t="s">
        <v>19</v>
      </c>
      <c r="B60" t="s">
        <v>53</v>
      </c>
      <c r="C60" t="s">
        <v>140</v>
      </c>
      <c r="D60" t="s">
        <v>75</v>
      </c>
      <c r="E60" t="s">
        <v>54</v>
      </c>
      <c r="F60" t="s">
        <v>55</v>
      </c>
      <c r="G60" t="s">
        <v>130</v>
      </c>
      <c r="H60">
        <v>0</v>
      </c>
      <c r="I60" t="s">
        <v>21</v>
      </c>
      <c r="J60">
        <v>0</v>
      </c>
      <c r="K60">
        <v>2</v>
      </c>
      <c r="L60">
        <v>5.3</v>
      </c>
      <c r="M60">
        <v>27</v>
      </c>
      <c r="N60" s="1">
        <v>7.4099999999999999E-2</v>
      </c>
      <c r="O60">
        <v>2.65</v>
      </c>
      <c r="P60" t="s">
        <v>77</v>
      </c>
      <c r="Q60" s="1">
        <v>0</v>
      </c>
    </row>
    <row r="61" spans="1:17">
      <c r="A61" t="s">
        <v>19</v>
      </c>
      <c r="B61" t="s">
        <v>53</v>
      </c>
      <c r="C61" t="s">
        <v>141</v>
      </c>
      <c r="D61" t="s">
        <v>75</v>
      </c>
      <c r="E61" t="s">
        <v>54</v>
      </c>
      <c r="F61" t="s">
        <v>55</v>
      </c>
      <c r="G61" t="s">
        <v>130</v>
      </c>
      <c r="H61">
        <v>0</v>
      </c>
      <c r="I61" t="s">
        <v>21</v>
      </c>
      <c r="J61">
        <v>0</v>
      </c>
      <c r="K61">
        <v>0</v>
      </c>
      <c r="L61">
        <v>0</v>
      </c>
      <c r="M61">
        <v>0</v>
      </c>
      <c r="N61" t="s">
        <v>77</v>
      </c>
      <c r="O61">
        <v>0</v>
      </c>
      <c r="P61" t="s">
        <v>77</v>
      </c>
      <c r="Q61" s="1">
        <v>0</v>
      </c>
    </row>
    <row r="62" spans="1:17">
      <c r="A62" t="s">
        <v>19</v>
      </c>
      <c r="B62" t="s">
        <v>53</v>
      </c>
      <c r="C62" t="s">
        <v>142</v>
      </c>
      <c r="D62" t="s">
        <v>75</v>
      </c>
      <c r="E62" t="s">
        <v>54</v>
      </c>
      <c r="F62" t="s">
        <v>55</v>
      </c>
      <c r="G62" t="s">
        <v>130</v>
      </c>
      <c r="H62">
        <v>0</v>
      </c>
      <c r="I62" t="s">
        <v>21</v>
      </c>
      <c r="J62">
        <v>0</v>
      </c>
      <c r="K62">
        <v>0</v>
      </c>
      <c r="L62">
        <v>0</v>
      </c>
      <c r="M62">
        <v>0</v>
      </c>
      <c r="N62" t="s">
        <v>77</v>
      </c>
      <c r="O62">
        <v>0</v>
      </c>
      <c r="P62" t="s">
        <v>77</v>
      </c>
      <c r="Q62" s="1">
        <v>0</v>
      </c>
    </row>
    <row r="63" spans="1:17">
      <c r="A63" t="s">
        <v>19</v>
      </c>
      <c r="B63" t="s">
        <v>53</v>
      </c>
      <c r="C63" t="s">
        <v>96</v>
      </c>
      <c r="D63" t="s">
        <v>75</v>
      </c>
      <c r="E63" t="s">
        <v>54</v>
      </c>
      <c r="F63" t="s">
        <v>55</v>
      </c>
      <c r="G63" t="s">
        <v>143</v>
      </c>
      <c r="H63">
        <v>0</v>
      </c>
      <c r="I63" t="s">
        <v>21</v>
      </c>
      <c r="J63">
        <v>0</v>
      </c>
      <c r="K63">
        <v>0</v>
      </c>
      <c r="L63">
        <v>0</v>
      </c>
      <c r="M63">
        <v>1</v>
      </c>
      <c r="N63" s="1">
        <v>0</v>
      </c>
      <c r="O63">
        <v>0</v>
      </c>
      <c r="P63">
        <v>1</v>
      </c>
      <c r="Q63" s="1">
        <v>0</v>
      </c>
    </row>
    <row r="64" spans="1:17">
      <c r="A64" t="s">
        <v>19</v>
      </c>
      <c r="B64" t="s">
        <v>53</v>
      </c>
      <c r="C64" t="s">
        <v>144</v>
      </c>
      <c r="D64" t="s">
        <v>75</v>
      </c>
      <c r="E64" t="s">
        <v>54</v>
      </c>
      <c r="F64" t="s">
        <v>55</v>
      </c>
      <c r="G64" t="s">
        <v>130</v>
      </c>
      <c r="H64">
        <v>0</v>
      </c>
      <c r="I64" t="s">
        <v>21</v>
      </c>
      <c r="J64">
        <v>0</v>
      </c>
      <c r="K64">
        <v>0</v>
      </c>
      <c r="L64">
        <v>0</v>
      </c>
      <c r="M64">
        <v>0</v>
      </c>
      <c r="N64" t="s">
        <v>77</v>
      </c>
      <c r="O64">
        <v>0</v>
      </c>
      <c r="P64" t="s">
        <v>77</v>
      </c>
      <c r="Q64" s="1">
        <v>0</v>
      </c>
    </row>
    <row r="65" spans="1:17">
      <c r="A65" t="s">
        <v>19</v>
      </c>
      <c r="B65" t="s">
        <v>53</v>
      </c>
      <c r="C65" t="s">
        <v>145</v>
      </c>
      <c r="D65" t="s">
        <v>75</v>
      </c>
      <c r="E65" t="s">
        <v>54</v>
      </c>
      <c r="F65" t="s">
        <v>55</v>
      </c>
      <c r="G65" t="s">
        <v>130</v>
      </c>
      <c r="H65">
        <v>0</v>
      </c>
      <c r="I65" t="s">
        <v>21</v>
      </c>
      <c r="J65">
        <v>0</v>
      </c>
      <c r="K65">
        <v>0</v>
      </c>
      <c r="L65">
        <v>0</v>
      </c>
      <c r="M65">
        <v>0</v>
      </c>
      <c r="N65" t="s">
        <v>77</v>
      </c>
      <c r="O65">
        <v>0</v>
      </c>
      <c r="P65" t="s">
        <v>77</v>
      </c>
      <c r="Q65" s="1">
        <v>0</v>
      </c>
    </row>
    <row r="66" spans="1:17">
      <c r="A66" t="s">
        <v>19</v>
      </c>
      <c r="B66" t="s">
        <v>53</v>
      </c>
      <c r="C66" t="s">
        <v>146</v>
      </c>
      <c r="D66" t="s">
        <v>75</v>
      </c>
      <c r="E66" t="s">
        <v>54</v>
      </c>
      <c r="F66" t="s">
        <v>55</v>
      </c>
      <c r="G66" t="s">
        <v>130</v>
      </c>
      <c r="H66">
        <v>0</v>
      </c>
      <c r="I66" t="s">
        <v>21</v>
      </c>
      <c r="J66">
        <v>0</v>
      </c>
      <c r="K66">
        <v>0</v>
      </c>
      <c r="L66">
        <v>0</v>
      </c>
      <c r="M66">
        <v>0</v>
      </c>
      <c r="N66" t="s">
        <v>77</v>
      </c>
      <c r="O66">
        <v>0</v>
      </c>
      <c r="P66" t="s">
        <v>77</v>
      </c>
      <c r="Q66" s="1">
        <v>0</v>
      </c>
    </row>
    <row r="67" spans="1:17">
      <c r="A67" t="s">
        <v>19</v>
      </c>
      <c r="B67" t="s">
        <v>53</v>
      </c>
      <c r="C67" t="s">
        <v>147</v>
      </c>
      <c r="D67" t="s">
        <v>75</v>
      </c>
      <c r="E67" t="s">
        <v>54</v>
      </c>
      <c r="F67" t="s">
        <v>55</v>
      </c>
      <c r="G67" t="s">
        <v>130</v>
      </c>
      <c r="H67">
        <v>0</v>
      </c>
      <c r="I67" t="s">
        <v>21</v>
      </c>
      <c r="J67">
        <v>0</v>
      </c>
      <c r="K67">
        <v>0</v>
      </c>
      <c r="L67">
        <v>0</v>
      </c>
      <c r="M67">
        <v>0</v>
      </c>
      <c r="N67" t="s">
        <v>77</v>
      </c>
      <c r="O67">
        <v>0</v>
      </c>
      <c r="P67" t="s">
        <v>77</v>
      </c>
      <c r="Q67" s="1">
        <v>0</v>
      </c>
    </row>
    <row r="68" spans="1:17">
      <c r="A68" t="s">
        <v>19</v>
      </c>
      <c r="B68" t="s">
        <v>53</v>
      </c>
      <c r="C68" t="s">
        <v>148</v>
      </c>
      <c r="D68" t="s">
        <v>75</v>
      </c>
      <c r="E68" t="s">
        <v>54</v>
      </c>
      <c r="F68" t="s">
        <v>55</v>
      </c>
      <c r="G68" t="s">
        <v>130</v>
      </c>
      <c r="H68">
        <v>0</v>
      </c>
      <c r="I68" t="s">
        <v>21</v>
      </c>
      <c r="J68">
        <v>0</v>
      </c>
      <c r="K68">
        <v>0</v>
      </c>
      <c r="L68">
        <v>0</v>
      </c>
      <c r="M68">
        <v>14</v>
      </c>
      <c r="N68" s="1">
        <v>0</v>
      </c>
      <c r="O68">
        <v>0</v>
      </c>
      <c r="P68" t="s">
        <v>77</v>
      </c>
      <c r="Q68" s="1">
        <v>0</v>
      </c>
    </row>
    <row r="69" spans="1:17">
      <c r="A69" t="s">
        <v>19</v>
      </c>
      <c r="B69" t="s">
        <v>53</v>
      </c>
      <c r="C69" t="s">
        <v>149</v>
      </c>
      <c r="D69" t="s">
        <v>75</v>
      </c>
      <c r="E69" t="s">
        <v>54</v>
      </c>
      <c r="F69" t="s">
        <v>55</v>
      </c>
      <c r="G69" t="s">
        <v>130</v>
      </c>
      <c r="H69">
        <v>0</v>
      </c>
      <c r="I69" t="s">
        <v>21</v>
      </c>
      <c r="J69">
        <v>0</v>
      </c>
      <c r="K69">
        <v>0</v>
      </c>
      <c r="L69">
        <v>0</v>
      </c>
      <c r="M69">
        <v>0</v>
      </c>
      <c r="N69" t="s">
        <v>77</v>
      </c>
      <c r="O69">
        <v>0</v>
      </c>
      <c r="P69" t="s">
        <v>77</v>
      </c>
      <c r="Q69" s="1">
        <v>0</v>
      </c>
    </row>
    <row r="70" spans="1:17">
      <c r="A70" t="s">
        <v>19</v>
      </c>
      <c r="B70" t="s">
        <v>53</v>
      </c>
      <c r="C70" t="s">
        <v>150</v>
      </c>
      <c r="D70" t="s">
        <v>75</v>
      </c>
      <c r="E70" t="s">
        <v>54</v>
      </c>
      <c r="F70" t="s">
        <v>55</v>
      </c>
      <c r="G70" t="s">
        <v>130</v>
      </c>
      <c r="H70">
        <v>0</v>
      </c>
      <c r="I70" t="s">
        <v>21</v>
      </c>
      <c r="J70">
        <v>0</v>
      </c>
      <c r="K70">
        <v>0</v>
      </c>
      <c r="L70">
        <v>0</v>
      </c>
      <c r="M70">
        <v>14</v>
      </c>
      <c r="N70" s="1">
        <v>0</v>
      </c>
      <c r="O70">
        <v>0</v>
      </c>
      <c r="P70" t="s">
        <v>77</v>
      </c>
      <c r="Q70" s="1">
        <v>0</v>
      </c>
    </row>
    <row r="71" spans="1:17">
      <c r="A71" t="s">
        <v>19</v>
      </c>
      <c r="B71" t="s">
        <v>53</v>
      </c>
      <c r="C71" t="s">
        <v>151</v>
      </c>
      <c r="D71" t="s">
        <v>75</v>
      </c>
      <c r="E71" t="s">
        <v>54</v>
      </c>
      <c r="F71" t="s">
        <v>55</v>
      </c>
      <c r="G71" t="s">
        <v>130</v>
      </c>
      <c r="H71">
        <v>0</v>
      </c>
      <c r="I71" t="s">
        <v>21</v>
      </c>
      <c r="J71">
        <v>0</v>
      </c>
      <c r="K71">
        <v>0</v>
      </c>
      <c r="L71">
        <v>0</v>
      </c>
      <c r="M71">
        <v>0</v>
      </c>
      <c r="N71" t="s">
        <v>77</v>
      </c>
      <c r="O71">
        <v>0</v>
      </c>
      <c r="P71" t="s">
        <v>77</v>
      </c>
      <c r="Q71" s="1">
        <v>0</v>
      </c>
    </row>
    <row r="72" spans="1:17">
      <c r="A72" t="s">
        <v>19</v>
      </c>
      <c r="B72" t="s">
        <v>18</v>
      </c>
      <c r="C72" t="s">
        <v>152</v>
      </c>
      <c r="D72" t="s">
        <v>75</v>
      </c>
      <c r="E72" t="s">
        <v>54</v>
      </c>
      <c r="F72" t="s">
        <v>18</v>
      </c>
      <c r="G72" t="s">
        <v>153</v>
      </c>
      <c r="H72">
        <v>0</v>
      </c>
      <c r="I72" t="s">
        <v>21</v>
      </c>
      <c r="J72">
        <v>0</v>
      </c>
      <c r="K72">
        <v>5</v>
      </c>
      <c r="L72">
        <v>36.04</v>
      </c>
      <c r="M72">
        <v>148</v>
      </c>
      <c r="N72" s="1">
        <v>3.3799999999999997E-2</v>
      </c>
      <c r="O72">
        <v>7.21</v>
      </c>
      <c r="P72" t="s">
        <v>77</v>
      </c>
      <c r="Q72" s="1">
        <v>0</v>
      </c>
    </row>
    <row r="73" spans="1:17">
      <c r="A73" t="s">
        <v>19</v>
      </c>
      <c r="B73" t="s">
        <v>53</v>
      </c>
      <c r="C73" t="s">
        <v>154</v>
      </c>
      <c r="D73" t="s">
        <v>75</v>
      </c>
      <c r="E73" t="s">
        <v>54</v>
      </c>
      <c r="F73" t="s">
        <v>55</v>
      </c>
      <c r="G73" t="s">
        <v>130</v>
      </c>
      <c r="H73">
        <v>0</v>
      </c>
      <c r="I73" t="s">
        <v>21</v>
      </c>
      <c r="J73">
        <v>0</v>
      </c>
      <c r="K73">
        <v>0</v>
      </c>
      <c r="L73">
        <v>0</v>
      </c>
      <c r="M73">
        <v>7</v>
      </c>
      <c r="N73" s="1">
        <v>0</v>
      </c>
      <c r="O73">
        <v>0</v>
      </c>
      <c r="P73" t="s">
        <v>77</v>
      </c>
      <c r="Q73" s="1">
        <v>0</v>
      </c>
    </row>
    <row r="74" spans="1:17">
      <c r="A74" t="s">
        <v>19</v>
      </c>
      <c r="B74" t="s">
        <v>53</v>
      </c>
      <c r="C74" t="s">
        <v>155</v>
      </c>
      <c r="D74" t="s">
        <v>75</v>
      </c>
      <c r="E74" t="s">
        <v>54</v>
      </c>
      <c r="F74" t="s">
        <v>55</v>
      </c>
      <c r="G74" t="s">
        <v>130</v>
      </c>
      <c r="H74">
        <v>0</v>
      </c>
      <c r="I74" t="s">
        <v>21</v>
      </c>
      <c r="J74">
        <v>0</v>
      </c>
      <c r="K74">
        <v>0</v>
      </c>
      <c r="L74">
        <v>0</v>
      </c>
      <c r="M74">
        <v>1</v>
      </c>
      <c r="N74" s="1">
        <v>0</v>
      </c>
      <c r="O74">
        <v>0</v>
      </c>
      <c r="P74" t="s">
        <v>77</v>
      </c>
      <c r="Q74" s="1">
        <v>0</v>
      </c>
    </row>
    <row r="75" spans="1:17">
      <c r="A75" t="s">
        <v>19</v>
      </c>
      <c r="B75" t="s">
        <v>53</v>
      </c>
      <c r="C75" t="s">
        <v>156</v>
      </c>
      <c r="D75" t="s">
        <v>75</v>
      </c>
      <c r="E75" t="s">
        <v>54</v>
      </c>
      <c r="F75" t="s">
        <v>55</v>
      </c>
      <c r="G75" t="s">
        <v>130</v>
      </c>
      <c r="H75">
        <v>0</v>
      </c>
      <c r="I75" t="s">
        <v>21</v>
      </c>
      <c r="J75">
        <v>0</v>
      </c>
      <c r="K75">
        <v>0</v>
      </c>
      <c r="L75">
        <v>0</v>
      </c>
      <c r="M75">
        <v>0</v>
      </c>
      <c r="N75" t="s">
        <v>77</v>
      </c>
      <c r="O75">
        <v>0</v>
      </c>
      <c r="P75" t="s">
        <v>77</v>
      </c>
      <c r="Q75" s="1">
        <v>0</v>
      </c>
    </row>
    <row r="76" spans="1:17">
      <c r="A76" t="s">
        <v>19</v>
      </c>
      <c r="B76" t="s">
        <v>53</v>
      </c>
      <c r="C76" t="s">
        <v>157</v>
      </c>
      <c r="D76" t="s">
        <v>75</v>
      </c>
      <c r="E76" t="s">
        <v>54</v>
      </c>
      <c r="F76" t="s">
        <v>55</v>
      </c>
      <c r="G76" t="s">
        <v>130</v>
      </c>
      <c r="H76">
        <v>0</v>
      </c>
      <c r="I76" t="s">
        <v>21</v>
      </c>
      <c r="J76">
        <v>0</v>
      </c>
      <c r="K76">
        <v>0</v>
      </c>
      <c r="L76">
        <v>0</v>
      </c>
      <c r="M76">
        <v>64</v>
      </c>
      <c r="N76" s="1">
        <v>0</v>
      </c>
      <c r="O76">
        <v>0</v>
      </c>
      <c r="P76" t="s">
        <v>77</v>
      </c>
      <c r="Q76" s="1">
        <v>0</v>
      </c>
    </row>
    <row r="77" spans="1:17">
      <c r="A77" t="s">
        <v>19</v>
      </c>
      <c r="B77" t="s">
        <v>53</v>
      </c>
      <c r="C77" t="s">
        <v>158</v>
      </c>
      <c r="D77" t="s">
        <v>75</v>
      </c>
      <c r="E77" t="s">
        <v>54</v>
      </c>
      <c r="F77" t="s">
        <v>55</v>
      </c>
      <c r="G77" t="s">
        <v>130</v>
      </c>
      <c r="H77">
        <v>0</v>
      </c>
      <c r="I77" t="s">
        <v>21</v>
      </c>
      <c r="J77">
        <v>0</v>
      </c>
      <c r="K77">
        <v>0</v>
      </c>
      <c r="L77">
        <v>0</v>
      </c>
      <c r="M77">
        <v>1</v>
      </c>
      <c r="N77" s="1">
        <v>0</v>
      </c>
      <c r="O77">
        <v>0</v>
      </c>
      <c r="P77" t="s">
        <v>77</v>
      </c>
      <c r="Q77" s="1">
        <v>0</v>
      </c>
    </row>
    <row r="78" spans="1:17">
      <c r="A78" t="s">
        <v>19</v>
      </c>
      <c r="B78" t="s">
        <v>53</v>
      </c>
      <c r="C78" t="s">
        <v>159</v>
      </c>
      <c r="D78" t="s">
        <v>75</v>
      </c>
      <c r="E78" t="s">
        <v>54</v>
      </c>
      <c r="F78" t="s">
        <v>55</v>
      </c>
      <c r="G78" t="s">
        <v>130</v>
      </c>
      <c r="H78">
        <v>0</v>
      </c>
      <c r="I78" t="s">
        <v>21</v>
      </c>
      <c r="J78">
        <v>0</v>
      </c>
      <c r="K78">
        <v>0</v>
      </c>
      <c r="L78">
        <v>0</v>
      </c>
      <c r="M78">
        <v>8</v>
      </c>
      <c r="N78" s="1">
        <v>0</v>
      </c>
      <c r="O78">
        <v>0</v>
      </c>
      <c r="P78" t="s">
        <v>77</v>
      </c>
      <c r="Q78" s="1">
        <v>0</v>
      </c>
    </row>
    <row r="79" spans="1:17">
      <c r="A79" t="s">
        <v>19</v>
      </c>
      <c r="B79" t="s">
        <v>53</v>
      </c>
      <c r="C79" t="s">
        <v>160</v>
      </c>
      <c r="D79" t="s">
        <v>79</v>
      </c>
      <c r="E79" t="s">
        <v>54</v>
      </c>
      <c r="F79" t="s">
        <v>55</v>
      </c>
      <c r="G79" t="s">
        <v>130</v>
      </c>
      <c r="H79">
        <v>0</v>
      </c>
      <c r="I79" t="s">
        <v>21</v>
      </c>
      <c r="J79">
        <v>0</v>
      </c>
      <c r="K79">
        <v>0</v>
      </c>
      <c r="L79">
        <v>0</v>
      </c>
      <c r="M79">
        <v>0</v>
      </c>
      <c r="N79" t="s">
        <v>77</v>
      </c>
      <c r="O79">
        <v>0</v>
      </c>
      <c r="P79" t="s">
        <v>77</v>
      </c>
      <c r="Q79" s="1">
        <v>0</v>
      </c>
    </row>
    <row r="80" spans="1:17">
      <c r="A80" t="s">
        <v>19</v>
      </c>
      <c r="B80" t="s">
        <v>53</v>
      </c>
      <c r="C80" t="s">
        <v>161</v>
      </c>
      <c r="D80" t="s">
        <v>75</v>
      </c>
      <c r="E80" t="s">
        <v>54</v>
      </c>
      <c r="F80" t="s">
        <v>55</v>
      </c>
      <c r="G80" t="s">
        <v>130</v>
      </c>
      <c r="H80">
        <v>0</v>
      </c>
      <c r="I80" t="s">
        <v>21</v>
      </c>
      <c r="J80">
        <v>0</v>
      </c>
      <c r="K80">
        <v>0</v>
      </c>
      <c r="L80">
        <v>0</v>
      </c>
      <c r="M80">
        <v>0</v>
      </c>
      <c r="N80" t="s">
        <v>77</v>
      </c>
      <c r="O80">
        <v>0</v>
      </c>
      <c r="P80" t="s">
        <v>77</v>
      </c>
      <c r="Q80" s="1">
        <v>0</v>
      </c>
    </row>
    <row r="81" spans="1:17">
      <c r="A81" t="s">
        <v>19</v>
      </c>
      <c r="B81" t="s">
        <v>53</v>
      </c>
      <c r="C81" t="s">
        <v>162</v>
      </c>
      <c r="D81" t="s">
        <v>75</v>
      </c>
      <c r="E81" t="s">
        <v>54</v>
      </c>
      <c r="F81" t="s">
        <v>55</v>
      </c>
      <c r="G81" t="s">
        <v>130</v>
      </c>
      <c r="H81">
        <v>0</v>
      </c>
      <c r="I81" t="s">
        <v>21</v>
      </c>
      <c r="J81">
        <v>0</v>
      </c>
      <c r="K81">
        <v>0</v>
      </c>
      <c r="L81">
        <v>0</v>
      </c>
      <c r="M81">
        <v>2</v>
      </c>
      <c r="N81" s="1">
        <v>0</v>
      </c>
      <c r="O81">
        <v>0</v>
      </c>
      <c r="P81" t="s">
        <v>77</v>
      </c>
      <c r="Q81" s="1">
        <v>0</v>
      </c>
    </row>
    <row r="82" spans="1:17">
      <c r="A82" t="s">
        <v>19</v>
      </c>
      <c r="B82" t="s">
        <v>53</v>
      </c>
      <c r="C82" t="s">
        <v>163</v>
      </c>
      <c r="D82" t="s">
        <v>82</v>
      </c>
      <c r="E82" t="s">
        <v>54</v>
      </c>
      <c r="F82" t="s">
        <v>55</v>
      </c>
      <c r="G82" t="s">
        <v>130</v>
      </c>
      <c r="H82">
        <v>0</v>
      </c>
      <c r="I82" t="s">
        <v>21</v>
      </c>
      <c r="J82">
        <v>0</v>
      </c>
      <c r="K82">
        <v>0</v>
      </c>
      <c r="L82">
        <v>0</v>
      </c>
      <c r="M82">
        <v>1</v>
      </c>
      <c r="N82" s="1">
        <v>0</v>
      </c>
      <c r="O82">
        <v>0</v>
      </c>
      <c r="P82">
        <v>8</v>
      </c>
      <c r="Q82" s="1">
        <v>0</v>
      </c>
    </row>
    <row r="83" spans="1:17">
      <c r="A83" t="s">
        <v>19</v>
      </c>
      <c r="B83" t="s">
        <v>53</v>
      </c>
      <c r="C83" t="s">
        <v>164</v>
      </c>
      <c r="D83" t="s">
        <v>75</v>
      </c>
      <c r="E83" t="s">
        <v>54</v>
      </c>
      <c r="F83" t="s">
        <v>55</v>
      </c>
      <c r="G83" t="s">
        <v>130</v>
      </c>
      <c r="H83">
        <v>0</v>
      </c>
      <c r="I83" t="s">
        <v>21</v>
      </c>
      <c r="J83">
        <v>0</v>
      </c>
      <c r="K83">
        <v>0</v>
      </c>
      <c r="L83">
        <v>0</v>
      </c>
      <c r="M83">
        <v>49</v>
      </c>
      <c r="N83" s="1">
        <v>0</v>
      </c>
      <c r="O83">
        <v>0</v>
      </c>
      <c r="P83" t="s">
        <v>77</v>
      </c>
      <c r="Q83" s="1">
        <v>0</v>
      </c>
    </row>
    <row r="84" spans="1:17">
      <c r="A84" t="s">
        <v>19</v>
      </c>
      <c r="B84" t="s">
        <v>53</v>
      </c>
      <c r="C84" t="s">
        <v>165</v>
      </c>
      <c r="D84" t="s">
        <v>75</v>
      </c>
      <c r="E84" t="s">
        <v>54</v>
      </c>
      <c r="F84" t="s">
        <v>55</v>
      </c>
      <c r="G84" t="s">
        <v>130</v>
      </c>
      <c r="H84">
        <v>0</v>
      </c>
      <c r="I84" t="s">
        <v>21</v>
      </c>
      <c r="J84">
        <v>0</v>
      </c>
      <c r="K84">
        <v>0</v>
      </c>
      <c r="L84">
        <v>0</v>
      </c>
      <c r="M84">
        <v>0</v>
      </c>
      <c r="N84" t="s">
        <v>77</v>
      </c>
      <c r="O84">
        <v>0</v>
      </c>
      <c r="P84" t="s">
        <v>77</v>
      </c>
      <c r="Q84" s="1">
        <v>0</v>
      </c>
    </row>
    <row r="85" spans="1:17">
      <c r="A85" t="s">
        <v>19</v>
      </c>
      <c r="B85" t="s">
        <v>53</v>
      </c>
      <c r="C85" t="s">
        <v>166</v>
      </c>
      <c r="D85" t="s">
        <v>75</v>
      </c>
      <c r="E85" t="s">
        <v>54</v>
      </c>
      <c r="F85" t="s">
        <v>55</v>
      </c>
      <c r="G85" t="s">
        <v>130</v>
      </c>
      <c r="H85">
        <v>0</v>
      </c>
      <c r="I85" t="s">
        <v>21</v>
      </c>
      <c r="J85">
        <v>0</v>
      </c>
      <c r="K85">
        <v>0</v>
      </c>
      <c r="L85">
        <v>0</v>
      </c>
      <c r="M85">
        <v>0</v>
      </c>
      <c r="N85" t="s">
        <v>77</v>
      </c>
      <c r="O85">
        <v>0</v>
      </c>
      <c r="P85" t="s">
        <v>77</v>
      </c>
      <c r="Q85" s="1">
        <v>0</v>
      </c>
    </row>
    <row r="86" spans="1:17">
      <c r="A86" t="s">
        <v>19</v>
      </c>
      <c r="B86" t="s">
        <v>53</v>
      </c>
      <c r="C86" t="s">
        <v>167</v>
      </c>
      <c r="D86" t="s">
        <v>82</v>
      </c>
      <c r="E86" t="s">
        <v>54</v>
      </c>
      <c r="F86" t="s">
        <v>55</v>
      </c>
      <c r="G86" t="s">
        <v>130</v>
      </c>
      <c r="H86">
        <v>0</v>
      </c>
      <c r="I86" t="s">
        <v>21</v>
      </c>
      <c r="J86">
        <v>0</v>
      </c>
      <c r="K86">
        <v>0</v>
      </c>
      <c r="L86">
        <v>0</v>
      </c>
      <c r="M86">
        <v>0</v>
      </c>
      <c r="N86" t="s">
        <v>77</v>
      </c>
      <c r="O86">
        <v>0</v>
      </c>
      <c r="P86" t="s">
        <v>77</v>
      </c>
      <c r="Q86" s="1">
        <v>0</v>
      </c>
    </row>
    <row r="87" spans="1:17">
      <c r="A87" t="s">
        <v>19</v>
      </c>
      <c r="B87" t="s">
        <v>53</v>
      </c>
      <c r="C87" t="s">
        <v>168</v>
      </c>
      <c r="D87" t="s">
        <v>75</v>
      </c>
      <c r="E87" t="s">
        <v>54</v>
      </c>
      <c r="F87" t="s">
        <v>55</v>
      </c>
      <c r="G87" t="s">
        <v>130</v>
      </c>
      <c r="H87">
        <v>0</v>
      </c>
      <c r="I87" t="s">
        <v>21</v>
      </c>
      <c r="J87">
        <v>0</v>
      </c>
      <c r="K87">
        <v>0</v>
      </c>
      <c r="L87">
        <v>0</v>
      </c>
      <c r="M87">
        <v>2</v>
      </c>
      <c r="N87" s="1">
        <v>0</v>
      </c>
      <c r="O87">
        <v>0</v>
      </c>
      <c r="P87" t="s">
        <v>77</v>
      </c>
      <c r="Q87" s="1">
        <v>0</v>
      </c>
    </row>
    <row r="88" spans="1:17">
      <c r="A88" t="s">
        <v>19</v>
      </c>
      <c r="B88" t="s">
        <v>53</v>
      </c>
      <c r="C88" t="s">
        <v>169</v>
      </c>
      <c r="D88" t="s">
        <v>75</v>
      </c>
      <c r="E88" t="s">
        <v>54</v>
      </c>
      <c r="F88" t="s">
        <v>55</v>
      </c>
      <c r="G88" t="s">
        <v>130</v>
      </c>
      <c r="H88">
        <v>0</v>
      </c>
      <c r="I88" t="s">
        <v>21</v>
      </c>
      <c r="J88">
        <v>0</v>
      </c>
      <c r="K88">
        <v>0</v>
      </c>
      <c r="L88">
        <v>0</v>
      </c>
      <c r="M88">
        <v>0</v>
      </c>
      <c r="N88" t="s">
        <v>77</v>
      </c>
      <c r="O88">
        <v>0</v>
      </c>
      <c r="P88" t="s">
        <v>77</v>
      </c>
      <c r="Q88" s="1">
        <v>0</v>
      </c>
    </row>
    <row r="89" spans="1:17">
      <c r="A89" t="s">
        <v>19</v>
      </c>
      <c r="B89" t="s">
        <v>53</v>
      </c>
      <c r="C89" t="s">
        <v>170</v>
      </c>
      <c r="D89" t="s">
        <v>75</v>
      </c>
      <c r="E89" t="s">
        <v>54</v>
      </c>
      <c r="F89" t="s">
        <v>55</v>
      </c>
      <c r="G89" t="s">
        <v>143</v>
      </c>
      <c r="H89">
        <v>0</v>
      </c>
      <c r="I89" t="s">
        <v>21</v>
      </c>
      <c r="J89">
        <v>0</v>
      </c>
      <c r="K89">
        <v>0</v>
      </c>
      <c r="L89">
        <v>0</v>
      </c>
      <c r="M89">
        <v>2</v>
      </c>
      <c r="N89" s="1">
        <v>0</v>
      </c>
      <c r="O89">
        <v>0</v>
      </c>
      <c r="P89">
        <v>1</v>
      </c>
      <c r="Q89" s="1">
        <v>0</v>
      </c>
    </row>
    <row r="90" spans="1:17">
      <c r="A90" t="s">
        <v>19</v>
      </c>
      <c r="B90" t="s">
        <v>53</v>
      </c>
      <c r="C90" t="s">
        <v>171</v>
      </c>
      <c r="D90" t="s">
        <v>75</v>
      </c>
      <c r="E90" t="s">
        <v>54</v>
      </c>
      <c r="F90" t="s">
        <v>55</v>
      </c>
      <c r="G90" t="s">
        <v>130</v>
      </c>
      <c r="H90">
        <v>0</v>
      </c>
      <c r="I90" t="s">
        <v>21</v>
      </c>
      <c r="J90">
        <v>0</v>
      </c>
      <c r="K90">
        <v>0</v>
      </c>
      <c r="L90">
        <v>0</v>
      </c>
      <c r="M90">
        <v>0</v>
      </c>
      <c r="N90" t="s">
        <v>77</v>
      </c>
      <c r="O90">
        <v>0</v>
      </c>
      <c r="P90" t="s">
        <v>77</v>
      </c>
      <c r="Q90" s="1">
        <v>0</v>
      </c>
    </row>
    <row r="91" spans="1:17">
      <c r="A91" t="s">
        <v>19</v>
      </c>
      <c r="B91" t="s">
        <v>53</v>
      </c>
      <c r="C91" t="s">
        <v>172</v>
      </c>
      <c r="D91" t="s">
        <v>75</v>
      </c>
      <c r="E91" t="s">
        <v>54</v>
      </c>
      <c r="F91" t="s">
        <v>55</v>
      </c>
      <c r="G91" t="s">
        <v>130</v>
      </c>
      <c r="H91">
        <v>0</v>
      </c>
      <c r="I91" t="s">
        <v>21</v>
      </c>
      <c r="J91">
        <v>0</v>
      </c>
      <c r="K91">
        <v>0</v>
      </c>
      <c r="L91">
        <v>0</v>
      </c>
      <c r="M91">
        <v>0</v>
      </c>
      <c r="N91" t="s">
        <v>77</v>
      </c>
      <c r="O91">
        <v>0</v>
      </c>
      <c r="P91" t="s">
        <v>77</v>
      </c>
      <c r="Q91" s="1">
        <v>0</v>
      </c>
    </row>
    <row r="92" spans="1:17">
      <c r="A92" t="s">
        <v>19</v>
      </c>
      <c r="B92" t="s">
        <v>53</v>
      </c>
      <c r="C92" t="s">
        <v>173</v>
      </c>
      <c r="D92" t="s">
        <v>75</v>
      </c>
      <c r="E92" t="s">
        <v>54</v>
      </c>
      <c r="F92" t="s">
        <v>55</v>
      </c>
      <c r="G92" t="s">
        <v>130</v>
      </c>
      <c r="H92">
        <v>0</v>
      </c>
      <c r="I92" t="s">
        <v>21</v>
      </c>
      <c r="J92">
        <v>0</v>
      </c>
      <c r="K92">
        <v>0</v>
      </c>
      <c r="L92">
        <v>0</v>
      </c>
      <c r="M92">
        <v>0</v>
      </c>
      <c r="N92" t="s">
        <v>77</v>
      </c>
      <c r="O92">
        <v>0</v>
      </c>
      <c r="P92" t="s">
        <v>77</v>
      </c>
      <c r="Q92" s="1">
        <v>0</v>
      </c>
    </row>
    <row r="93" spans="1:17">
      <c r="A93" t="s">
        <v>19</v>
      </c>
      <c r="B93" t="s">
        <v>53</v>
      </c>
      <c r="C93" t="s">
        <v>174</v>
      </c>
      <c r="D93" t="s">
        <v>82</v>
      </c>
      <c r="E93" t="s">
        <v>54</v>
      </c>
      <c r="F93" t="s">
        <v>55</v>
      </c>
      <c r="G93" t="s">
        <v>130</v>
      </c>
      <c r="H93">
        <v>0</v>
      </c>
      <c r="I93" t="s">
        <v>21</v>
      </c>
      <c r="J93">
        <v>0</v>
      </c>
      <c r="K93">
        <v>0</v>
      </c>
      <c r="L93">
        <v>0</v>
      </c>
      <c r="M93">
        <v>0</v>
      </c>
      <c r="N93" t="s">
        <v>77</v>
      </c>
      <c r="O93">
        <v>0</v>
      </c>
      <c r="P93" t="s">
        <v>77</v>
      </c>
      <c r="Q93" s="1">
        <v>0</v>
      </c>
    </row>
    <row r="94" spans="1:17">
      <c r="A94" t="s">
        <v>19</v>
      </c>
      <c r="B94" t="s">
        <v>53</v>
      </c>
      <c r="C94" t="s">
        <v>175</v>
      </c>
      <c r="D94" t="s">
        <v>75</v>
      </c>
      <c r="E94" t="s">
        <v>54</v>
      </c>
      <c r="F94" t="s">
        <v>55</v>
      </c>
      <c r="G94" t="s">
        <v>130</v>
      </c>
      <c r="H94">
        <v>0</v>
      </c>
      <c r="I94" t="s">
        <v>21</v>
      </c>
      <c r="J94">
        <v>0</v>
      </c>
      <c r="K94">
        <v>0</v>
      </c>
      <c r="L94">
        <v>0</v>
      </c>
      <c r="M94">
        <v>0</v>
      </c>
      <c r="N94" t="s">
        <v>77</v>
      </c>
      <c r="O94">
        <v>0</v>
      </c>
      <c r="P94" t="s">
        <v>77</v>
      </c>
      <c r="Q94" s="1">
        <v>0</v>
      </c>
    </row>
    <row r="95" spans="1:17">
      <c r="A95" t="s">
        <v>19</v>
      </c>
      <c r="B95" t="s">
        <v>53</v>
      </c>
      <c r="C95" t="s">
        <v>176</v>
      </c>
      <c r="D95" t="s">
        <v>75</v>
      </c>
      <c r="E95" t="s">
        <v>54</v>
      </c>
      <c r="F95" t="s">
        <v>55</v>
      </c>
      <c r="G95" t="s">
        <v>130</v>
      </c>
      <c r="H95">
        <v>0</v>
      </c>
      <c r="I95" t="s">
        <v>21</v>
      </c>
      <c r="J95">
        <v>0</v>
      </c>
      <c r="K95">
        <v>0</v>
      </c>
      <c r="L95">
        <v>0</v>
      </c>
      <c r="M95">
        <v>0</v>
      </c>
      <c r="N95" t="s">
        <v>77</v>
      </c>
      <c r="O95">
        <v>0</v>
      </c>
      <c r="P95" t="s">
        <v>77</v>
      </c>
      <c r="Q95" s="1">
        <v>0</v>
      </c>
    </row>
    <row r="96" spans="1:17">
      <c r="A96" t="s">
        <v>19</v>
      </c>
      <c r="B96" t="s">
        <v>18</v>
      </c>
      <c r="C96" t="s">
        <v>177</v>
      </c>
      <c r="D96" t="s">
        <v>75</v>
      </c>
      <c r="E96" t="s">
        <v>54</v>
      </c>
      <c r="F96" t="s">
        <v>18</v>
      </c>
      <c r="G96" t="s">
        <v>153</v>
      </c>
      <c r="H96">
        <v>0</v>
      </c>
      <c r="I96" t="s">
        <v>21</v>
      </c>
      <c r="J96">
        <v>0</v>
      </c>
      <c r="K96">
        <v>0</v>
      </c>
      <c r="L96">
        <v>0</v>
      </c>
      <c r="M96">
        <v>79</v>
      </c>
      <c r="N96" s="1">
        <v>0</v>
      </c>
      <c r="O96">
        <v>0</v>
      </c>
      <c r="P96" t="s">
        <v>77</v>
      </c>
      <c r="Q96" s="1">
        <v>0</v>
      </c>
    </row>
    <row r="97" spans="1:17">
      <c r="A97" t="s">
        <v>19</v>
      </c>
      <c r="B97" t="s">
        <v>53</v>
      </c>
      <c r="C97" t="s">
        <v>178</v>
      </c>
      <c r="D97" t="s">
        <v>75</v>
      </c>
      <c r="E97" t="s">
        <v>54</v>
      </c>
      <c r="F97" t="s">
        <v>55</v>
      </c>
      <c r="G97" t="s">
        <v>130</v>
      </c>
      <c r="H97">
        <v>0</v>
      </c>
      <c r="I97" t="s">
        <v>21</v>
      </c>
      <c r="J97">
        <v>0</v>
      </c>
      <c r="K97">
        <v>0</v>
      </c>
      <c r="L97">
        <v>0</v>
      </c>
      <c r="M97">
        <v>0</v>
      </c>
      <c r="N97" t="s">
        <v>77</v>
      </c>
      <c r="O97">
        <v>0</v>
      </c>
      <c r="P97" t="s">
        <v>77</v>
      </c>
      <c r="Q97" s="1">
        <v>0</v>
      </c>
    </row>
    <row r="98" spans="1:17">
      <c r="A98" t="s">
        <v>19</v>
      </c>
      <c r="B98" t="s">
        <v>53</v>
      </c>
      <c r="C98" t="s">
        <v>179</v>
      </c>
      <c r="D98" t="s">
        <v>79</v>
      </c>
      <c r="E98" t="s">
        <v>54</v>
      </c>
      <c r="F98" t="s">
        <v>55</v>
      </c>
      <c r="G98" t="s">
        <v>130</v>
      </c>
      <c r="H98">
        <v>0</v>
      </c>
      <c r="I98" t="s">
        <v>21</v>
      </c>
      <c r="J98">
        <v>0</v>
      </c>
      <c r="K98">
        <v>0</v>
      </c>
      <c r="L98">
        <v>0</v>
      </c>
      <c r="M98">
        <v>0</v>
      </c>
      <c r="N98" t="s">
        <v>77</v>
      </c>
      <c r="O98">
        <v>0</v>
      </c>
      <c r="P98" t="s">
        <v>77</v>
      </c>
      <c r="Q98" s="1">
        <v>0</v>
      </c>
    </row>
    <row r="99" spans="1:17">
      <c r="A99" t="s">
        <v>19</v>
      </c>
      <c r="B99" t="s">
        <v>53</v>
      </c>
      <c r="C99" t="s">
        <v>180</v>
      </c>
      <c r="D99" t="s">
        <v>75</v>
      </c>
      <c r="E99" t="s">
        <v>54</v>
      </c>
      <c r="F99" t="s">
        <v>55</v>
      </c>
      <c r="G99" t="s">
        <v>130</v>
      </c>
      <c r="H99">
        <v>0</v>
      </c>
      <c r="I99" t="s">
        <v>21</v>
      </c>
      <c r="J99">
        <v>0</v>
      </c>
      <c r="K99">
        <v>0</v>
      </c>
      <c r="L99">
        <v>0</v>
      </c>
      <c r="M99">
        <v>0</v>
      </c>
      <c r="N99" t="s">
        <v>77</v>
      </c>
      <c r="O99">
        <v>0</v>
      </c>
      <c r="P99" t="s">
        <v>77</v>
      </c>
      <c r="Q99" s="1">
        <v>0</v>
      </c>
    </row>
    <row r="100" spans="1:17">
      <c r="A100" t="s">
        <v>19</v>
      </c>
      <c r="B100" t="s">
        <v>53</v>
      </c>
      <c r="C100" t="s">
        <v>181</v>
      </c>
      <c r="D100" t="s">
        <v>75</v>
      </c>
      <c r="E100" t="s">
        <v>54</v>
      </c>
      <c r="F100" t="s">
        <v>55</v>
      </c>
      <c r="G100" t="s">
        <v>130</v>
      </c>
      <c r="H100">
        <v>0</v>
      </c>
      <c r="I100" t="s">
        <v>21</v>
      </c>
      <c r="J100">
        <v>0</v>
      </c>
      <c r="K100">
        <v>0</v>
      </c>
      <c r="L100">
        <v>0</v>
      </c>
      <c r="M100">
        <v>1</v>
      </c>
      <c r="N100" s="1">
        <v>0</v>
      </c>
      <c r="O100">
        <v>0</v>
      </c>
      <c r="P100" t="s">
        <v>77</v>
      </c>
      <c r="Q100" s="1">
        <v>0</v>
      </c>
    </row>
    <row r="101" spans="1:17">
      <c r="A101" t="s">
        <v>19</v>
      </c>
      <c r="B101" t="s">
        <v>53</v>
      </c>
      <c r="C101" t="s">
        <v>182</v>
      </c>
      <c r="D101" t="s">
        <v>75</v>
      </c>
      <c r="E101" t="s">
        <v>54</v>
      </c>
      <c r="F101" t="s">
        <v>55</v>
      </c>
      <c r="G101" t="s">
        <v>130</v>
      </c>
      <c r="H101">
        <v>0</v>
      </c>
      <c r="I101" t="s">
        <v>21</v>
      </c>
      <c r="J101">
        <v>0</v>
      </c>
      <c r="K101">
        <v>0</v>
      </c>
      <c r="L101">
        <v>0</v>
      </c>
      <c r="M101">
        <v>0</v>
      </c>
      <c r="N101" t="s">
        <v>77</v>
      </c>
      <c r="O101">
        <v>0</v>
      </c>
      <c r="P101" t="s">
        <v>77</v>
      </c>
      <c r="Q101" s="1">
        <v>0</v>
      </c>
    </row>
    <row r="102" spans="1:17">
      <c r="A102" t="s">
        <v>19</v>
      </c>
      <c r="B102" t="s">
        <v>53</v>
      </c>
      <c r="C102" t="s">
        <v>183</v>
      </c>
      <c r="D102" t="s">
        <v>75</v>
      </c>
      <c r="E102" t="s">
        <v>54</v>
      </c>
      <c r="F102" t="s">
        <v>55</v>
      </c>
      <c r="G102" t="s">
        <v>130</v>
      </c>
      <c r="H102">
        <v>0</v>
      </c>
      <c r="I102" t="s">
        <v>21</v>
      </c>
      <c r="J102">
        <v>0</v>
      </c>
      <c r="K102">
        <v>0</v>
      </c>
      <c r="L102">
        <v>0</v>
      </c>
      <c r="M102">
        <v>0</v>
      </c>
      <c r="N102" t="s">
        <v>77</v>
      </c>
      <c r="O102">
        <v>0</v>
      </c>
      <c r="P102" t="s">
        <v>77</v>
      </c>
      <c r="Q102" s="1">
        <v>0</v>
      </c>
    </row>
    <row r="103" spans="1:17">
      <c r="A103" t="s">
        <v>19</v>
      </c>
      <c r="B103" t="s">
        <v>53</v>
      </c>
      <c r="C103" t="s">
        <v>184</v>
      </c>
      <c r="D103" t="s">
        <v>75</v>
      </c>
      <c r="E103" t="s">
        <v>54</v>
      </c>
      <c r="F103" t="s">
        <v>55</v>
      </c>
      <c r="G103" t="s">
        <v>130</v>
      </c>
      <c r="H103">
        <v>0</v>
      </c>
      <c r="I103" t="s">
        <v>21</v>
      </c>
      <c r="J103">
        <v>0</v>
      </c>
      <c r="K103">
        <v>0</v>
      </c>
      <c r="L103">
        <v>0</v>
      </c>
      <c r="M103">
        <v>0</v>
      </c>
      <c r="N103" t="s">
        <v>77</v>
      </c>
      <c r="O103">
        <v>0</v>
      </c>
      <c r="P103" t="s">
        <v>77</v>
      </c>
      <c r="Q103" s="1">
        <v>0</v>
      </c>
    </row>
    <row r="104" spans="1:17">
      <c r="A104" t="s">
        <v>19</v>
      </c>
      <c r="B104" t="s">
        <v>53</v>
      </c>
      <c r="C104" t="s">
        <v>185</v>
      </c>
      <c r="D104" t="s">
        <v>79</v>
      </c>
      <c r="E104" t="s">
        <v>54</v>
      </c>
      <c r="F104" t="s">
        <v>55</v>
      </c>
      <c r="G104" t="s">
        <v>130</v>
      </c>
      <c r="H104">
        <v>0</v>
      </c>
      <c r="I104" t="s">
        <v>21</v>
      </c>
      <c r="J104">
        <v>0</v>
      </c>
      <c r="K104">
        <v>0</v>
      </c>
      <c r="L104">
        <v>0</v>
      </c>
      <c r="M104">
        <v>0</v>
      </c>
      <c r="N104" t="s">
        <v>77</v>
      </c>
      <c r="O104">
        <v>0</v>
      </c>
      <c r="P104" t="s">
        <v>77</v>
      </c>
      <c r="Q104" s="1">
        <v>0</v>
      </c>
    </row>
    <row r="105" spans="1:17">
      <c r="A105" t="s">
        <v>19</v>
      </c>
      <c r="B105" t="s">
        <v>53</v>
      </c>
      <c r="C105" t="s">
        <v>186</v>
      </c>
      <c r="D105" t="s">
        <v>75</v>
      </c>
      <c r="E105" t="s">
        <v>54</v>
      </c>
      <c r="F105" t="s">
        <v>55</v>
      </c>
      <c r="G105" t="s">
        <v>130</v>
      </c>
      <c r="H105">
        <v>0</v>
      </c>
      <c r="I105" t="s">
        <v>21</v>
      </c>
      <c r="J105">
        <v>0</v>
      </c>
      <c r="K105">
        <v>0</v>
      </c>
      <c r="L105">
        <v>0</v>
      </c>
      <c r="M105">
        <v>0</v>
      </c>
      <c r="N105" t="s">
        <v>77</v>
      </c>
      <c r="O105">
        <v>0</v>
      </c>
      <c r="P105" t="s">
        <v>77</v>
      </c>
      <c r="Q105" s="1">
        <v>0</v>
      </c>
    </row>
    <row r="106" spans="1:17">
      <c r="A106" t="s">
        <v>19</v>
      </c>
      <c r="B106" t="s">
        <v>53</v>
      </c>
      <c r="C106" t="s">
        <v>187</v>
      </c>
      <c r="D106" t="s">
        <v>75</v>
      </c>
      <c r="E106" t="s">
        <v>54</v>
      </c>
      <c r="F106" t="s">
        <v>55</v>
      </c>
      <c r="G106" t="s">
        <v>130</v>
      </c>
      <c r="H106">
        <v>0</v>
      </c>
      <c r="I106" t="s">
        <v>21</v>
      </c>
      <c r="J106">
        <v>0</v>
      </c>
      <c r="K106">
        <v>0</v>
      </c>
      <c r="L106">
        <v>0</v>
      </c>
      <c r="M106">
        <v>36</v>
      </c>
      <c r="N106" s="1">
        <v>0</v>
      </c>
      <c r="O106">
        <v>0</v>
      </c>
      <c r="P106" t="s">
        <v>77</v>
      </c>
      <c r="Q106" s="1">
        <v>0</v>
      </c>
    </row>
    <row r="107" spans="1:17">
      <c r="A107" t="s">
        <v>19</v>
      </c>
      <c r="B107" t="s">
        <v>53</v>
      </c>
      <c r="C107" t="s">
        <v>188</v>
      </c>
      <c r="D107" t="s">
        <v>75</v>
      </c>
      <c r="E107" t="s">
        <v>54</v>
      </c>
      <c r="F107" t="s">
        <v>55</v>
      </c>
      <c r="G107" t="s">
        <v>130</v>
      </c>
      <c r="H107">
        <v>0</v>
      </c>
      <c r="I107" t="s">
        <v>21</v>
      </c>
      <c r="J107">
        <v>0</v>
      </c>
      <c r="K107">
        <v>0</v>
      </c>
      <c r="L107">
        <v>0</v>
      </c>
      <c r="M107">
        <v>0</v>
      </c>
      <c r="N107" t="s">
        <v>77</v>
      </c>
      <c r="O107">
        <v>0</v>
      </c>
      <c r="P107" t="s">
        <v>77</v>
      </c>
      <c r="Q107" s="1">
        <v>0</v>
      </c>
    </row>
    <row r="108" spans="1:17">
      <c r="A108" t="s">
        <v>19</v>
      </c>
      <c r="B108" t="s">
        <v>53</v>
      </c>
      <c r="C108" t="s">
        <v>189</v>
      </c>
      <c r="D108" t="s">
        <v>75</v>
      </c>
      <c r="E108" t="s">
        <v>54</v>
      </c>
      <c r="F108" t="s">
        <v>55</v>
      </c>
      <c r="G108" t="s">
        <v>130</v>
      </c>
      <c r="H108">
        <v>0</v>
      </c>
      <c r="I108" t="s">
        <v>21</v>
      </c>
      <c r="J108">
        <v>0</v>
      </c>
      <c r="K108">
        <v>0</v>
      </c>
      <c r="L108">
        <v>0</v>
      </c>
      <c r="M108">
        <v>51</v>
      </c>
      <c r="N108" s="1">
        <v>0</v>
      </c>
      <c r="O108">
        <v>0</v>
      </c>
      <c r="P108" t="s">
        <v>77</v>
      </c>
      <c r="Q108" s="1">
        <v>0</v>
      </c>
    </row>
    <row r="109" spans="1:17">
      <c r="A109" t="s">
        <v>19</v>
      </c>
      <c r="B109" t="s">
        <v>53</v>
      </c>
      <c r="C109" t="s">
        <v>190</v>
      </c>
      <c r="D109" t="s">
        <v>75</v>
      </c>
      <c r="E109" t="s">
        <v>54</v>
      </c>
      <c r="F109" t="s">
        <v>55</v>
      </c>
      <c r="G109" t="s">
        <v>143</v>
      </c>
      <c r="H109">
        <v>0</v>
      </c>
      <c r="I109" t="s">
        <v>21</v>
      </c>
      <c r="J109">
        <v>0</v>
      </c>
      <c r="K109">
        <v>0</v>
      </c>
      <c r="L109">
        <v>0</v>
      </c>
      <c r="M109">
        <v>1</v>
      </c>
      <c r="N109" s="1">
        <v>0</v>
      </c>
      <c r="O109">
        <v>0</v>
      </c>
      <c r="P109">
        <v>1</v>
      </c>
      <c r="Q109" s="1">
        <v>0</v>
      </c>
    </row>
    <row r="110" spans="1:17">
      <c r="A110" t="s">
        <v>19</v>
      </c>
      <c r="B110" t="s">
        <v>53</v>
      </c>
      <c r="C110" t="s">
        <v>191</v>
      </c>
      <c r="D110" t="s">
        <v>75</v>
      </c>
      <c r="E110" t="s">
        <v>54</v>
      </c>
      <c r="F110" t="s">
        <v>55</v>
      </c>
      <c r="G110" t="s">
        <v>130</v>
      </c>
      <c r="H110">
        <v>8</v>
      </c>
      <c r="I110" t="s">
        <v>21</v>
      </c>
      <c r="J110">
        <v>5.66</v>
      </c>
      <c r="K110">
        <v>11</v>
      </c>
      <c r="L110">
        <v>45.25</v>
      </c>
      <c r="M110">
        <v>226</v>
      </c>
      <c r="N110" s="1">
        <v>4.87E-2</v>
      </c>
      <c r="O110">
        <v>4.1100000000000003</v>
      </c>
      <c r="P110">
        <v>8</v>
      </c>
      <c r="Q110" s="1">
        <v>0.72729999999999995</v>
      </c>
    </row>
    <row r="111" spans="1:17">
      <c r="A111" t="s">
        <v>19</v>
      </c>
      <c r="B111" t="s">
        <v>53</v>
      </c>
      <c r="C111" t="s">
        <v>192</v>
      </c>
      <c r="D111" t="s">
        <v>79</v>
      </c>
      <c r="E111" t="s">
        <v>54</v>
      </c>
      <c r="F111" t="s">
        <v>55</v>
      </c>
      <c r="G111" t="s">
        <v>130</v>
      </c>
      <c r="H111">
        <v>0</v>
      </c>
      <c r="I111" t="s">
        <v>21</v>
      </c>
      <c r="J111">
        <v>0</v>
      </c>
      <c r="K111">
        <v>0</v>
      </c>
      <c r="L111">
        <v>0</v>
      </c>
      <c r="M111">
        <v>0</v>
      </c>
      <c r="N111" t="s">
        <v>77</v>
      </c>
      <c r="O111">
        <v>0</v>
      </c>
      <c r="P111" t="s">
        <v>77</v>
      </c>
      <c r="Q111" s="1">
        <v>0</v>
      </c>
    </row>
    <row r="112" spans="1:17">
      <c r="A112" t="s">
        <v>19</v>
      </c>
      <c r="B112" t="s">
        <v>53</v>
      </c>
      <c r="C112" t="s">
        <v>193</v>
      </c>
      <c r="D112" t="s">
        <v>75</v>
      </c>
      <c r="E112" t="s">
        <v>54</v>
      </c>
      <c r="F112" t="s">
        <v>55</v>
      </c>
      <c r="G112" t="s">
        <v>130</v>
      </c>
      <c r="H112">
        <v>0</v>
      </c>
      <c r="I112" t="s">
        <v>21</v>
      </c>
      <c r="J112">
        <v>0</v>
      </c>
      <c r="K112">
        <v>0</v>
      </c>
      <c r="L112">
        <v>0</v>
      </c>
      <c r="M112">
        <v>0</v>
      </c>
      <c r="N112" t="s">
        <v>77</v>
      </c>
      <c r="O112">
        <v>0</v>
      </c>
      <c r="P112" t="s">
        <v>77</v>
      </c>
      <c r="Q112" s="1">
        <v>0</v>
      </c>
    </row>
    <row r="113" spans="1:17">
      <c r="A113" t="s">
        <v>19</v>
      </c>
      <c r="B113" t="s">
        <v>53</v>
      </c>
      <c r="C113" t="s">
        <v>194</v>
      </c>
      <c r="D113" t="s">
        <v>75</v>
      </c>
      <c r="E113" t="s">
        <v>54</v>
      </c>
      <c r="F113" t="s">
        <v>55</v>
      </c>
      <c r="G113" t="s">
        <v>130</v>
      </c>
      <c r="H113">
        <v>0</v>
      </c>
      <c r="I113" t="s">
        <v>21</v>
      </c>
      <c r="J113">
        <v>0</v>
      </c>
      <c r="K113">
        <v>0</v>
      </c>
      <c r="L113">
        <v>0</v>
      </c>
      <c r="M113">
        <v>0</v>
      </c>
      <c r="N113" t="s">
        <v>77</v>
      </c>
      <c r="O113">
        <v>0</v>
      </c>
      <c r="P113" t="s">
        <v>77</v>
      </c>
      <c r="Q113" s="1">
        <v>0</v>
      </c>
    </row>
    <row r="114" spans="1:17">
      <c r="A114" t="s">
        <v>19</v>
      </c>
      <c r="B114" t="s">
        <v>53</v>
      </c>
      <c r="C114" t="s">
        <v>195</v>
      </c>
      <c r="D114" t="s">
        <v>75</v>
      </c>
      <c r="E114" t="s">
        <v>54</v>
      </c>
      <c r="F114" t="s">
        <v>55</v>
      </c>
      <c r="G114" t="s">
        <v>130</v>
      </c>
      <c r="H114">
        <v>0</v>
      </c>
      <c r="I114" t="s">
        <v>21</v>
      </c>
      <c r="J114">
        <v>0</v>
      </c>
      <c r="K114">
        <v>0</v>
      </c>
      <c r="L114">
        <v>0</v>
      </c>
      <c r="M114">
        <v>0</v>
      </c>
      <c r="N114" t="s">
        <v>77</v>
      </c>
      <c r="O114">
        <v>0</v>
      </c>
      <c r="P114" t="s">
        <v>77</v>
      </c>
      <c r="Q114" s="1">
        <v>0</v>
      </c>
    </row>
    <row r="115" spans="1:17">
      <c r="A115" t="s">
        <v>19</v>
      </c>
      <c r="B115" t="s">
        <v>53</v>
      </c>
      <c r="C115" t="s">
        <v>196</v>
      </c>
      <c r="D115" t="s">
        <v>75</v>
      </c>
      <c r="E115" t="s">
        <v>54</v>
      </c>
      <c r="F115" t="s">
        <v>55</v>
      </c>
      <c r="G115" t="s">
        <v>130</v>
      </c>
      <c r="H115">
        <v>0</v>
      </c>
      <c r="I115" t="s">
        <v>21</v>
      </c>
      <c r="J115">
        <v>0</v>
      </c>
      <c r="K115">
        <v>0</v>
      </c>
      <c r="L115">
        <v>0</v>
      </c>
      <c r="M115">
        <v>0</v>
      </c>
      <c r="N115" t="s">
        <v>77</v>
      </c>
      <c r="O115">
        <v>0</v>
      </c>
      <c r="P115" t="s">
        <v>77</v>
      </c>
      <c r="Q115" s="1">
        <v>0</v>
      </c>
    </row>
    <row r="116" spans="1:17">
      <c r="A116" t="s">
        <v>19</v>
      </c>
      <c r="B116" t="s">
        <v>53</v>
      </c>
      <c r="C116" t="s">
        <v>197</v>
      </c>
      <c r="D116" t="s">
        <v>75</v>
      </c>
      <c r="E116" t="s">
        <v>54</v>
      </c>
      <c r="F116" t="s">
        <v>55</v>
      </c>
      <c r="G116" t="s">
        <v>130</v>
      </c>
      <c r="H116">
        <v>0</v>
      </c>
      <c r="I116" t="s">
        <v>21</v>
      </c>
      <c r="J116">
        <v>0</v>
      </c>
      <c r="K116">
        <v>0</v>
      </c>
      <c r="L116">
        <v>0</v>
      </c>
      <c r="M116">
        <v>0</v>
      </c>
      <c r="N116" t="s">
        <v>77</v>
      </c>
      <c r="O116">
        <v>0</v>
      </c>
      <c r="P116" t="s">
        <v>77</v>
      </c>
      <c r="Q116" s="1">
        <v>0</v>
      </c>
    </row>
    <row r="117" spans="1:17">
      <c r="A117" t="s">
        <v>19</v>
      </c>
      <c r="B117" t="s">
        <v>53</v>
      </c>
      <c r="C117" t="s">
        <v>198</v>
      </c>
      <c r="D117" t="s">
        <v>82</v>
      </c>
      <c r="E117" t="s">
        <v>54</v>
      </c>
      <c r="F117" t="s">
        <v>55</v>
      </c>
      <c r="G117" t="s">
        <v>130</v>
      </c>
      <c r="H117">
        <v>0</v>
      </c>
      <c r="I117" t="s">
        <v>21</v>
      </c>
      <c r="J117">
        <v>0</v>
      </c>
      <c r="K117">
        <v>0</v>
      </c>
      <c r="L117">
        <v>0</v>
      </c>
      <c r="M117">
        <v>0</v>
      </c>
      <c r="N117" t="s">
        <v>77</v>
      </c>
      <c r="O117">
        <v>0</v>
      </c>
      <c r="P117" t="s">
        <v>77</v>
      </c>
      <c r="Q117" s="1">
        <v>0</v>
      </c>
    </row>
    <row r="118" spans="1:17">
      <c r="A118" t="s">
        <v>19</v>
      </c>
      <c r="B118" t="s">
        <v>53</v>
      </c>
      <c r="C118" t="s">
        <v>199</v>
      </c>
      <c r="D118" t="s">
        <v>75</v>
      </c>
      <c r="E118" t="s">
        <v>54</v>
      </c>
      <c r="F118" t="s">
        <v>55</v>
      </c>
      <c r="G118" t="s">
        <v>130</v>
      </c>
      <c r="H118">
        <v>0</v>
      </c>
      <c r="I118" t="s">
        <v>21</v>
      </c>
      <c r="J118">
        <v>0</v>
      </c>
      <c r="K118">
        <v>0</v>
      </c>
      <c r="L118">
        <v>0</v>
      </c>
      <c r="M118">
        <v>0</v>
      </c>
      <c r="N118" t="s">
        <v>77</v>
      </c>
      <c r="O118">
        <v>0</v>
      </c>
      <c r="P118" t="s">
        <v>77</v>
      </c>
      <c r="Q118" s="1">
        <v>0</v>
      </c>
    </row>
    <row r="119" spans="1:17">
      <c r="A119" t="s">
        <v>19</v>
      </c>
      <c r="B119" t="s">
        <v>53</v>
      </c>
      <c r="C119" t="s">
        <v>200</v>
      </c>
      <c r="D119" t="s">
        <v>75</v>
      </c>
      <c r="E119" t="s">
        <v>54</v>
      </c>
      <c r="F119" t="s">
        <v>55</v>
      </c>
      <c r="G119" t="s">
        <v>130</v>
      </c>
      <c r="H119">
        <v>0</v>
      </c>
      <c r="I119" t="s">
        <v>21</v>
      </c>
      <c r="J119">
        <v>0</v>
      </c>
      <c r="K119">
        <v>0</v>
      </c>
      <c r="L119">
        <v>0</v>
      </c>
      <c r="M119">
        <v>0</v>
      </c>
      <c r="N119" t="s">
        <v>77</v>
      </c>
      <c r="O119">
        <v>0</v>
      </c>
      <c r="P119" t="s">
        <v>77</v>
      </c>
      <c r="Q119" s="1">
        <v>0</v>
      </c>
    </row>
    <row r="120" spans="1:17">
      <c r="A120" t="s">
        <v>19</v>
      </c>
      <c r="B120" t="s">
        <v>53</v>
      </c>
      <c r="C120" t="s">
        <v>201</v>
      </c>
      <c r="D120" t="s">
        <v>75</v>
      </c>
      <c r="E120" t="s">
        <v>54</v>
      </c>
      <c r="F120" t="s">
        <v>55</v>
      </c>
      <c r="G120" t="s">
        <v>130</v>
      </c>
      <c r="H120">
        <v>0</v>
      </c>
      <c r="I120" t="s">
        <v>21</v>
      </c>
      <c r="J120">
        <v>0</v>
      </c>
      <c r="K120">
        <v>0</v>
      </c>
      <c r="L120">
        <v>0</v>
      </c>
      <c r="M120">
        <v>3</v>
      </c>
      <c r="N120" s="1">
        <v>0</v>
      </c>
      <c r="O120">
        <v>0</v>
      </c>
      <c r="P120" t="s">
        <v>77</v>
      </c>
      <c r="Q120" s="1">
        <v>0</v>
      </c>
    </row>
    <row r="121" spans="1:17">
      <c r="A121" t="s">
        <v>19</v>
      </c>
      <c r="B121" t="s">
        <v>53</v>
      </c>
      <c r="C121" t="s">
        <v>202</v>
      </c>
      <c r="D121" t="s">
        <v>75</v>
      </c>
      <c r="E121" t="s">
        <v>54</v>
      </c>
      <c r="F121" t="s">
        <v>55</v>
      </c>
      <c r="G121" t="s">
        <v>130</v>
      </c>
      <c r="H121">
        <v>0</v>
      </c>
      <c r="I121" t="s">
        <v>21</v>
      </c>
      <c r="J121">
        <v>0</v>
      </c>
      <c r="K121">
        <v>0</v>
      </c>
      <c r="L121">
        <v>0</v>
      </c>
      <c r="M121">
        <v>17</v>
      </c>
      <c r="N121" s="1">
        <v>0</v>
      </c>
      <c r="O121">
        <v>0</v>
      </c>
      <c r="P121" t="s">
        <v>77</v>
      </c>
      <c r="Q121" s="1">
        <v>0</v>
      </c>
    </row>
    <row r="122" spans="1:17">
      <c r="A122" t="s">
        <v>19</v>
      </c>
      <c r="B122" t="s">
        <v>18</v>
      </c>
      <c r="C122" t="s">
        <v>203</v>
      </c>
      <c r="D122" t="s">
        <v>75</v>
      </c>
      <c r="E122" t="s">
        <v>54</v>
      </c>
      <c r="F122" t="s">
        <v>18</v>
      </c>
      <c r="G122" t="s">
        <v>153</v>
      </c>
      <c r="H122">
        <v>0</v>
      </c>
      <c r="I122" t="s">
        <v>21</v>
      </c>
      <c r="J122">
        <v>0</v>
      </c>
      <c r="K122">
        <v>3</v>
      </c>
      <c r="L122">
        <v>14.92</v>
      </c>
      <c r="M122">
        <v>63</v>
      </c>
      <c r="N122" s="1">
        <v>4.7600000000000003E-2</v>
      </c>
      <c r="O122">
        <v>4.97</v>
      </c>
      <c r="P122" t="s">
        <v>77</v>
      </c>
      <c r="Q122" s="1">
        <v>0</v>
      </c>
    </row>
    <row r="123" spans="1:17">
      <c r="A123" t="s">
        <v>19</v>
      </c>
      <c r="B123" t="s">
        <v>53</v>
      </c>
      <c r="C123" t="s">
        <v>204</v>
      </c>
      <c r="D123" t="s">
        <v>82</v>
      </c>
      <c r="E123" t="s">
        <v>54</v>
      </c>
      <c r="F123" t="s">
        <v>55</v>
      </c>
      <c r="G123" t="s">
        <v>130</v>
      </c>
      <c r="H123">
        <v>0</v>
      </c>
      <c r="I123" t="s">
        <v>21</v>
      </c>
      <c r="J123">
        <v>0</v>
      </c>
      <c r="K123">
        <v>0</v>
      </c>
      <c r="L123">
        <v>0</v>
      </c>
      <c r="M123">
        <v>0</v>
      </c>
      <c r="N123" t="s">
        <v>77</v>
      </c>
      <c r="O123">
        <v>0</v>
      </c>
      <c r="P123" t="s">
        <v>77</v>
      </c>
      <c r="Q123" s="1">
        <v>0</v>
      </c>
    </row>
    <row r="124" spans="1:17">
      <c r="A124" t="s">
        <v>19</v>
      </c>
      <c r="B124" t="s">
        <v>53</v>
      </c>
      <c r="C124" t="s">
        <v>205</v>
      </c>
      <c r="D124" t="s">
        <v>79</v>
      </c>
      <c r="E124" t="s">
        <v>54</v>
      </c>
      <c r="F124" t="s">
        <v>55</v>
      </c>
      <c r="G124" t="s">
        <v>130</v>
      </c>
      <c r="H124">
        <v>0</v>
      </c>
      <c r="I124" t="s">
        <v>21</v>
      </c>
      <c r="J124">
        <v>0</v>
      </c>
      <c r="K124">
        <v>0</v>
      </c>
      <c r="L124">
        <v>0</v>
      </c>
      <c r="M124">
        <v>1</v>
      </c>
      <c r="N124" s="1">
        <v>0</v>
      </c>
      <c r="O124">
        <v>0</v>
      </c>
      <c r="P124">
        <v>8</v>
      </c>
      <c r="Q124" s="1">
        <v>0</v>
      </c>
    </row>
    <row r="125" spans="1:17">
      <c r="A125" t="s">
        <v>19</v>
      </c>
      <c r="B125" t="s">
        <v>53</v>
      </c>
      <c r="C125" t="s">
        <v>206</v>
      </c>
      <c r="D125" t="s">
        <v>75</v>
      </c>
      <c r="E125" t="s">
        <v>54</v>
      </c>
      <c r="F125" t="s">
        <v>55</v>
      </c>
      <c r="G125" t="s">
        <v>130</v>
      </c>
      <c r="H125">
        <v>0</v>
      </c>
      <c r="I125" t="s">
        <v>21</v>
      </c>
      <c r="J125">
        <v>0</v>
      </c>
      <c r="K125">
        <v>0</v>
      </c>
      <c r="L125">
        <v>0</v>
      </c>
      <c r="M125">
        <v>4</v>
      </c>
      <c r="N125" s="1">
        <v>0</v>
      </c>
      <c r="O125">
        <v>0</v>
      </c>
      <c r="P125" t="s">
        <v>77</v>
      </c>
      <c r="Q125" s="1">
        <v>0</v>
      </c>
    </row>
    <row r="126" spans="1:17">
      <c r="A126" t="s">
        <v>19</v>
      </c>
      <c r="B126" t="s">
        <v>53</v>
      </c>
      <c r="C126" t="s">
        <v>207</v>
      </c>
      <c r="D126" t="s">
        <v>75</v>
      </c>
      <c r="E126" t="s">
        <v>54</v>
      </c>
      <c r="F126" t="s">
        <v>55</v>
      </c>
      <c r="G126" t="s">
        <v>130</v>
      </c>
      <c r="H126">
        <v>1</v>
      </c>
      <c r="I126" t="s">
        <v>21</v>
      </c>
      <c r="J126">
        <v>5.62</v>
      </c>
      <c r="K126">
        <v>1</v>
      </c>
      <c r="L126">
        <v>5.62</v>
      </c>
      <c r="M126">
        <v>6</v>
      </c>
      <c r="N126" s="1">
        <v>0.16669999999999999</v>
      </c>
      <c r="O126">
        <v>5.62</v>
      </c>
      <c r="P126" t="s">
        <v>77</v>
      </c>
      <c r="Q126" s="1">
        <v>1</v>
      </c>
    </row>
    <row r="127" spans="1:17">
      <c r="A127" t="s">
        <v>19</v>
      </c>
      <c r="B127" t="s">
        <v>53</v>
      </c>
      <c r="C127" t="s">
        <v>208</v>
      </c>
      <c r="D127" t="s">
        <v>75</v>
      </c>
      <c r="E127" t="s">
        <v>54</v>
      </c>
      <c r="F127" t="s">
        <v>55</v>
      </c>
      <c r="G127" t="s">
        <v>130</v>
      </c>
      <c r="H127">
        <v>0</v>
      </c>
      <c r="I127" t="s">
        <v>21</v>
      </c>
      <c r="J127">
        <v>0</v>
      </c>
      <c r="K127">
        <v>0</v>
      </c>
      <c r="L127">
        <v>0</v>
      </c>
      <c r="M127">
        <v>0</v>
      </c>
      <c r="N127" t="s">
        <v>77</v>
      </c>
      <c r="O127">
        <v>0</v>
      </c>
      <c r="P127" t="s">
        <v>77</v>
      </c>
      <c r="Q127" s="1">
        <v>0</v>
      </c>
    </row>
    <row r="128" spans="1:17">
      <c r="A128" t="s">
        <v>19</v>
      </c>
      <c r="B128" t="s">
        <v>53</v>
      </c>
      <c r="C128" t="s">
        <v>209</v>
      </c>
      <c r="D128" t="s">
        <v>79</v>
      </c>
      <c r="E128" t="s">
        <v>54</v>
      </c>
      <c r="F128" t="s">
        <v>55</v>
      </c>
      <c r="G128" t="s">
        <v>130</v>
      </c>
      <c r="H128">
        <v>0</v>
      </c>
      <c r="I128" t="s">
        <v>21</v>
      </c>
      <c r="J128">
        <v>0</v>
      </c>
      <c r="K128">
        <v>0</v>
      </c>
      <c r="L128">
        <v>0</v>
      </c>
      <c r="M128">
        <v>0</v>
      </c>
      <c r="N128" t="s">
        <v>77</v>
      </c>
      <c r="O128">
        <v>0</v>
      </c>
      <c r="P128" t="s">
        <v>77</v>
      </c>
      <c r="Q128" s="1">
        <v>0</v>
      </c>
    </row>
    <row r="129" spans="1:17">
      <c r="A129" t="s">
        <v>19</v>
      </c>
      <c r="B129" t="s">
        <v>53</v>
      </c>
      <c r="C129" t="s">
        <v>210</v>
      </c>
      <c r="D129" t="s">
        <v>75</v>
      </c>
      <c r="E129" t="s">
        <v>54</v>
      </c>
      <c r="F129" t="s">
        <v>55</v>
      </c>
      <c r="G129" t="s">
        <v>130</v>
      </c>
      <c r="H129">
        <v>0</v>
      </c>
      <c r="I129" t="s">
        <v>21</v>
      </c>
      <c r="J129">
        <v>0</v>
      </c>
      <c r="K129">
        <v>0</v>
      </c>
      <c r="L129">
        <v>0</v>
      </c>
      <c r="M129">
        <v>0</v>
      </c>
      <c r="N129" t="s">
        <v>77</v>
      </c>
      <c r="O129">
        <v>0</v>
      </c>
      <c r="P129" t="s">
        <v>77</v>
      </c>
      <c r="Q129" s="1">
        <v>0</v>
      </c>
    </row>
    <row r="130" spans="1:17">
      <c r="A130" t="s">
        <v>19</v>
      </c>
      <c r="B130" t="s">
        <v>53</v>
      </c>
      <c r="C130" t="s">
        <v>211</v>
      </c>
      <c r="D130" t="s">
        <v>75</v>
      </c>
      <c r="E130" t="s">
        <v>54</v>
      </c>
      <c r="F130" t="s">
        <v>55</v>
      </c>
      <c r="G130" t="s">
        <v>130</v>
      </c>
      <c r="H130">
        <v>0</v>
      </c>
      <c r="I130" t="s">
        <v>21</v>
      </c>
      <c r="J130">
        <v>0</v>
      </c>
      <c r="K130">
        <v>0</v>
      </c>
      <c r="L130">
        <v>0</v>
      </c>
      <c r="M130">
        <v>0</v>
      </c>
      <c r="N130" t="s">
        <v>77</v>
      </c>
      <c r="O130">
        <v>0</v>
      </c>
      <c r="P130" t="s">
        <v>77</v>
      </c>
      <c r="Q130" s="1">
        <v>0</v>
      </c>
    </row>
    <row r="131" spans="1:17">
      <c r="A131" t="s">
        <v>19</v>
      </c>
      <c r="B131" t="s">
        <v>53</v>
      </c>
      <c r="C131" t="s">
        <v>212</v>
      </c>
      <c r="D131" t="s">
        <v>75</v>
      </c>
      <c r="E131" t="s">
        <v>54</v>
      </c>
      <c r="F131" t="s">
        <v>55</v>
      </c>
      <c r="G131" t="s">
        <v>130</v>
      </c>
      <c r="H131">
        <v>0</v>
      </c>
      <c r="I131" t="s">
        <v>21</v>
      </c>
      <c r="J131">
        <v>0</v>
      </c>
      <c r="K131">
        <v>0</v>
      </c>
      <c r="L131">
        <v>0</v>
      </c>
      <c r="M131">
        <v>0</v>
      </c>
      <c r="N131" t="s">
        <v>77</v>
      </c>
      <c r="O131">
        <v>0</v>
      </c>
      <c r="P131" t="s">
        <v>77</v>
      </c>
      <c r="Q131" s="1">
        <v>0</v>
      </c>
    </row>
    <row r="132" spans="1:17">
      <c r="A132" t="s">
        <v>19</v>
      </c>
      <c r="B132" t="s">
        <v>53</v>
      </c>
      <c r="C132" t="s">
        <v>213</v>
      </c>
      <c r="D132" t="s">
        <v>75</v>
      </c>
      <c r="E132" t="s">
        <v>54</v>
      </c>
      <c r="F132" t="s">
        <v>55</v>
      </c>
      <c r="G132" t="s">
        <v>130</v>
      </c>
      <c r="H132">
        <v>0</v>
      </c>
      <c r="I132" t="s">
        <v>21</v>
      </c>
      <c r="J132">
        <v>0</v>
      </c>
      <c r="K132">
        <v>0</v>
      </c>
      <c r="L132">
        <v>0</v>
      </c>
      <c r="M132">
        <v>0</v>
      </c>
      <c r="N132" t="s">
        <v>77</v>
      </c>
      <c r="O132">
        <v>0</v>
      </c>
      <c r="P132" t="s">
        <v>77</v>
      </c>
      <c r="Q132" s="1">
        <v>0</v>
      </c>
    </row>
    <row r="133" spans="1:17">
      <c r="A133" t="s">
        <v>19</v>
      </c>
      <c r="B133" t="s">
        <v>53</v>
      </c>
      <c r="C133" t="s">
        <v>214</v>
      </c>
      <c r="D133" t="s">
        <v>75</v>
      </c>
      <c r="E133" t="s">
        <v>54</v>
      </c>
      <c r="F133" t="s">
        <v>55</v>
      </c>
      <c r="G133" t="s">
        <v>130</v>
      </c>
      <c r="H133">
        <v>0</v>
      </c>
      <c r="I133" t="s">
        <v>21</v>
      </c>
      <c r="J133">
        <v>0</v>
      </c>
      <c r="K133">
        <v>0</v>
      </c>
      <c r="L133">
        <v>0</v>
      </c>
      <c r="M133">
        <v>0</v>
      </c>
      <c r="N133" t="s">
        <v>77</v>
      </c>
      <c r="O133">
        <v>0</v>
      </c>
      <c r="P133" t="s">
        <v>77</v>
      </c>
      <c r="Q133" s="1">
        <v>0</v>
      </c>
    </row>
    <row r="134" spans="1:17">
      <c r="A134" t="s">
        <v>19</v>
      </c>
      <c r="B134" t="s">
        <v>53</v>
      </c>
      <c r="C134" t="s">
        <v>215</v>
      </c>
      <c r="D134" t="s">
        <v>75</v>
      </c>
      <c r="E134" t="s">
        <v>54</v>
      </c>
      <c r="F134" t="s">
        <v>55</v>
      </c>
      <c r="G134" t="s">
        <v>130</v>
      </c>
      <c r="H134">
        <v>0</v>
      </c>
      <c r="I134" t="s">
        <v>21</v>
      </c>
      <c r="J134">
        <v>0</v>
      </c>
      <c r="K134">
        <v>1</v>
      </c>
      <c r="L134">
        <v>6.66</v>
      </c>
      <c r="M134">
        <v>19</v>
      </c>
      <c r="N134" s="1">
        <v>5.2600000000000001E-2</v>
      </c>
      <c r="O134">
        <v>6.66</v>
      </c>
      <c r="P134" t="s">
        <v>77</v>
      </c>
      <c r="Q134" s="1">
        <v>0</v>
      </c>
    </row>
    <row r="135" spans="1:17">
      <c r="A135" t="s">
        <v>19</v>
      </c>
      <c r="B135" t="s">
        <v>53</v>
      </c>
      <c r="C135" t="s">
        <v>216</v>
      </c>
      <c r="D135" t="s">
        <v>75</v>
      </c>
      <c r="E135" t="s">
        <v>54</v>
      </c>
      <c r="F135" t="s">
        <v>55</v>
      </c>
      <c r="G135" t="s">
        <v>130</v>
      </c>
      <c r="H135">
        <v>0</v>
      </c>
      <c r="I135" t="s">
        <v>21</v>
      </c>
      <c r="J135">
        <v>0</v>
      </c>
      <c r="K135">
        <v>0</v>
      </c>
      <c r="L135">
        <v>0</v>
      </c>
      <c r="M135">
        <v>1</v>
      </c>
      <c r="N135" s="1">
        <v>0</v>
      </c>
      <c r="O135">
        <v>0</v>
      </c>
      <c r="P135" t="s">
        <v>77</v>
      </c>
      <c r="Q135" s="1">
        <v>0</v>
      </c>
    </row>
    <row r="136" spans="1:17">
      <c r="A136" t="s">
        <v>19</v>
      </c>
      <c r="B136" t="s">
        <v>53</v>
      </c>
      <c r="C136" t="s">
        <v>217</v>
      </c>
      <c r="D136" t="s">
        <v>75</v>
      </c>
      <c r="E136" t="s">
        <v>54</v>
      </c>
      <c r="F136" t="s">
        <v>55</v>
      </c>
      <c r="G136" t="s">
        <v>130</v>
      </c>
      <c r="H136">
        <v>0</v>
      </c>
      <c r="I136" t="s">
        <v>21</v>
      </c>
      <c r="J136">
        <v>0</v>
      </c>
      <c r="K136">
        <v>0</v>
      </c>
      <c r="L136">
        <v>0</v>
      </c>
      <c r="M136">
        <v>2</v>
      </c>
      <c r="N136" s="1">
        <v>0</v>
      </c>
      <c r="O136">
        <v>0</v>
      </c>
      <c r="P136" t="s">
        <v>77</v>
      </c>
      <c r="Q136" s="1">
        <v>0</v>
      </c>
    </row>
    <row r="137" spans="1:17">
      <c r="A137" t="s">
        <v>19</v>
      </c>
      <c r="B137" t="s">
        <v>53</v>
      </c>
      <c r="C137" t="s">
        <v>218</v>
      </c>
      <c r="D137" t="s">
        <v>75</v>
      </c>
      <c r="E137" t="s">
        <v>54</v>
      </c>
      <c r="F137" t="s">
        <v>55</v>
      </c>
      <c r="G137" t="s">
        <v>130</v>
      </c>
      <c r="H137">
        <v>0</v>
      </c>
      <c r="I137" t="s">
        <v>21</v>
      </c>
      <c r="J137">
        <v>0</v>
      </c>
      <c r="K137">
        <v>0</v>
      </c>
      <c r="L137">
        <v>0</v>
      </c>
      <c r="M137">
        <v>0</v>
      </c>
      <c r="N137" t="s">
        <v>77</v>
      </c>
      <c r="O137">
        <v>0</v>
      </c>
      <c r="P137" t="s">
        <v>77</v>
      </c>
      <c r="Q137" s="1">
        <v>0</v>
      </c>
    </row>
    <row r="138" spans="1:17">
      <c r="A138" t="s">
        <v>19</v>
      </c>
      <c r="B138" t="s">
        <v>53</v>
      </c>
      <c r="C138" t="s">
        <v>219</v>
      </c>
      <c r="D138" t="s">
        <v>75</v>
      </c>
      <c r="E138" t="s">
        <v>54</v>
      </c>
      <c r="F138" t="s">
        <v>55</v>
      </c>
      <c r="G138" t="s">
        <v>130</v>
      </c>
      <c r="H138">
        <v>0</v>
      </c>
      <c r="I138" t="s">
        <v>21</v>
      </c>
      <c r="J138">
        <v>0</v>
      </c>
      <c r="K138">
        <v>0</v>
      </c>
      <c r="L138">
        <v>0</v>
      </c>
      <c r="M138">
        <v>0</v>
      </c>
      <c r="N138" t="s">
        <v>77</v>
      </c>
      <c r="O138">
        <v>0</v>
      </c>
      <c r="P138" t="s">
        <v>77</v>
      </c>
      <c r="Q138" s="1">
        <v>0</v>
      </c>
    </row>
    <row r="139" spans="1:17">
      <c r="A139" t="s">
        <v>19</v>
      </c>
      <c r="B139" t="s">
        <v>53</v>
      </c>
      <c r="C139" t="s">
        <v>220</v>
      </c>
      <c r="D139" t="s">
        <v>75</v>
      </c>
      <c r="E139" t="s">
        <v>54</v>
      </c>
      <c r="F139" t="s">
        <v>55</v>
      </c>
      <c r="G139" t="s">
        <v>130</v>
      </c>
      <c r="H139">
        <v>0</v>
      </c>
      <c r="I139" t="s">
        <v>21</v>
      </c>
      <c r="J139">
        <v>0</v>
      </c>
      <c r="K139">
        <v>0</v>
      </c>
      <c r="L139">
        <v>0</v>
      </c>
      <c r="M139">
        <v>0</v>
      </c>
      <c r="N139" t="s">
        <v>77</v>
      </c>
      <c r="O139">
        <v>0</v>
      </c>
      <c r="P139" t="s">
        <v>77</v>
      </c>
      <c r="Q139" s="1">
        <v>0</v>
      </c>
    </row>
    <row r="140" spans="1:17">
      <c r="A140" t="s">
        <v>19</v>
      </c>
      <c r="B140" t="s">
        <v>53</v>
      </c>
      <c r="C140" t="s">
        <v>221</v>
      </c>
      <c r="D140" t="s">
        <v>75</v>
      </c>
      <c r="E140" t="s">
        <v>54</v>
      </c>
      <c r="F140" t="s">
        <v>55</v>
      </c>
      <c r="G140" t="s">
        <v>130</v>
      </c>
      <c r="H140">
        <v>5</v>
      </c>
      <c r="I140" t="s">
        <v>21</v>
      </c>
      <c r="J140">
        <v>30.22</v>
      </c>
      <c r="K140">
        <v>34</v>
      </c>
      <c r="L140">
        <v>151.1</v>
      </c>
      <c r="M140">
        <v>766</v>
      </c>
      <c r="N140" s="1">
        <v>4.4400000000000002E-2</v>
      </c>
      <c r="O140">
        <v>4.4400000000000004</v>
      </c>
      <c r="P140" t="s">
        <v>77</v>
      </c>
      <c r="Q140" s="1">
        <v>0.14710000000000001</v>
      </c>
    </row>
    <row r="141" spans="1:17">
      <c r="A141" t="s">
        <v>19</v>
      </c>
      <c r="B141" t="s">
        <v>53</v>
      </c>
      <c r="C141" t="s">
        <v>222</v>
      </c>
      <c r="D141" t="s">
        <v>75</v>
      </c>
      <c r="E141" t="s">
        <v>54</v>
      </c>
      <c r="F141" t="s">
        <v>55</v>
      </c>
      <c r="G141" t="s">
        <v>130</v>
      </c>
      <c r="H141">
        <v>0</v>
      </c>
      <c r="I141" t="s">
        <v>21</v>
      </c>
      <c r="J141">
        <v>0</v>
      </c>
      <c r="K141">
        <v>0</v>
      </c>
      <c r="L141">
        <v>0</v>
      </c>
      <c r="M141">
        <v>0</v>
      </c>
      <c r="N141" t="s">
        <v>77</v>
      </c>
      <c r="O141">
        <v>0</v>
      </c>
      <c r="P141" t="s">
        <v>77</v>
      </c>
      <c r="Q141" s="1">
        <v>0</v>
      </c>
    </row>
    <row r="142" spans="1:17">
      <c r="A142" t="s">
        <v>19</v>
      </c>
      <c r="B142" t="s">
        <v>53</v>
      </c>
      <c r="C142" t="s">
        <v>223</v>
      </c>
      <c r="D142" t="s">
        <v>75</v>
      </c>
      <c r="E142" t="s">
        <v>54</v>
      </c>
      <c r="F142" t="s">
        <v>55</v>
      </c>
      <c r="G142" t="s">
        <v>130</v>
      </c>
      <c r="H142">
        <v>0</v>
      </c>
      <c r="I142" t="s">
        <v>21</v>
      </c>
      <c r="J142">
        <v>0</v>
      </c>
      <c r="K142">
        <v>0</v>
      </c>
      <c r="L142">
        <v>0</v>
      </c>
      <c r="M142">
        <v>0</v>
      </c>
      <c r="N142" t="s">
        <v>77</v>
      </c>
      <c r="O142">
        <v>0</v>
      </c>
      <c r="P142" t="s">
        <v>77</v>
      </c>
      <c r="Q142" s="1">
        <v>0</v>
      </c>
    </row>
    <row r="143" spans="1:17">
      <c r="A143" t="s">
        <v>19</v>
      </c>
      <c r="B143" t="s">
        <v>53</v>
      </c>
      <c r="C143" t="s">
        <v>224</v>
      </c>
      <c r="D143" t="s">
        <v>75</v>
      </c>
      <c r="E143" t="s">
        <v>54</v>
      </c>
      <c r="F143" t="s">
        <v>55</v>
      </c>
      <c r="G143" t="s">
        <v>130</v>
      </c>
      <c r="H143">
        <v>0</v>
      </c>
      <c r="I143" t="s">
        <v>21</v>
      </c>
      <c r="J143">
        <v>0</v>
      </c>
      <c r="K143">
        <v>14</v>
      </c>
      <c r="L143">
        <v>46.41</v>
      </c>
      <c r="M143">
        <v>301</v>
      </c>
      <c r="N143" s="1">
        <v>4.65E-2</v>
      </c>
      <c r="O143">
        <v>3.32</v>
      </c>
      <c r="P143">
        <v>3</v>
      </c>
      <c r="Q143" s="1">
        <v>0</v>
      </c>
    </row>
    <row r="144" spans="1:17">
      <c r="A144" t="s">
        <v>19</v>
      </c>
      <c r="B144" t="s">
        <v>53</v>
      </c>
      <c r="C144" t="s">
        <v>225</v>
      </c>
      <c r="D144" t="s">
        <v>79</v>
      </c>
      <c r="E144" t="s">
        <v>54</v>
      </c>
      <c r="F144" t="s">
        <v>55</v>
      </c>
      <c r="G144" t="s">
        <v>130</v>
      </c>
      <c r="H144">
        <v>0</v>
      </c>
      <c r="I144" t="s">
        <v>21</v>
      </c>
      <c r="J144">
        <v>0</v>
      </c>
      <c r="K144">
        <v>2</v>
      </c>
      <c r="L144">
        <v>8.32</v>
      </c>
      <c r="M144">
        <v>23</v>
      </c>
      <c r="N144" s="1">
        <v>8.6999999999999994E-2</v>
      </c>
      <c r="O144">
        <v>4.16</v>
      </c>
      <c r="P144" t="s">
        <v>77</v>
      </c>
      <c r="Q144" s="1">
        <v>0</v>
      </c>
    </row>
    <row r="145" spans="1:17">
      <c r="A145" t="s">
        <v>19</v>
      </c>
      <c r="B145" t="s">
        <v>53</v>
      </c>
      <c r="C145" t="s">
        <v>226</v>
      </c>
      <c r="D145" t="s">
        <v>75</v>
      </c>
      <c r="E145" t="s">
        <v>54</v>
      </c>
      <c r="F145" t="s">
        <v>55</v>
      </c>
      <c r="G145" t="s">
        <v>130</v>
      </c>
      <c r="H145">
        <v>0</v>
      </c>
      <c r="I145" t="s">
        <v>21</v>
      </c>
      <c r="J145">
        <v>0</v>
      </c>
      <c r="K145">
        <v>0</v>
      </c>
      <c r="L145">
        <v>0</v>
      </c>
      <c r="M145">
        <v>0</v>
      </c>
      <c r="N145" t="s">
        <v>77</v>
      </c>
      <c r="O145">
        <v>0</v>
      </c>
      <c r="P145" t="s">
        <v>77</v>
      </c>
      <c r="Q145" s="1">
        <v>0</v>
      </c>
    </row>
    <row r="146" spans="1:17">
      <c r="A146" t="s">
        <v>19</v>
      </c>
      <c r="B146" t="s">
        <v>53</v>
      </c>
      <c r="C146" t="s">
        <v>227</v>
      </c>
      <c r="D146" t="s">
        <v>75</v>
      </c>
      <c r="E146" t="s">
        <v>54</v>
      </c>
      <c r="F146" t="s">
        <v>55</v>
      </c>
      <c r="G146" t="s">
        <v>130</v>
      </c>
      <c r="H146">
        <v>0</v>
      </c>
      <c r="I146" t="s">
        <v>21</v>
      </c>
      <c r="J146">
        <v>0</v>
      </c>
      <c r="K146">
        <v>0</v>
      </c>
      <c r="L146">
        <v>0</v>
      </c>
      <c r="M146">
        <v>11</v>
      </c>
      <c r="N146" s="1">
        <v>0</v>
      </c>
      <c r="O146">
        <v>0</v>
      </c>
      <c r="P146" t="s">
        <v>77</v>
      </c>
      <c r="Q146" s="1">
        <v>0</v>
      </c>
    </row>
    <row r="147" spans="1:17">
      <c r="A147" t="s">
        <v>19</v>
      </c>
      <c r="B147" t="s">
        <v>53</v>
      </c>
      <c r="C147" t="s">
        <v>228</v>
      </c>
      <c r="D147" t="s">
        <v>75</v>
      </c>
      <c r="E147" t="s">
        <v>54</v>
      </c>
      <c r="F147" t="s">
        <v>55</v>
      </c>
      <c r="G147" t="s">
        <v>130</v>
      </c>
      <c r="H147">
        <v>0</v>
      </c>
      <c r="I147" t="s">
        <v>21</v>
      </c>
      <c r="J147">
        <v>0</v>
      </c>
      <c r="K147">
        <v>0</v>
      </c>
      <c r="L147">
        <v>0</v>
      </c>
      <c r="M147">
        <v>0</v>
      </c>
      <c r="N147" t="s">
        <v>77</v>
      </c>
      <c r="O147">
        <v>0</v>
      </c>
      <c r="P147" t="s">
        <v>77</v>
      </c>
      <c r="Q147" s="1">
        <v>0</v>
      </c>
    </row>
    <row r="148" spans="1:17">
      <c r="A148" t="s">
        <v>19</v>
      </c>
      <c r="B148" t="s">
        <v>53</v>
      </c>
      <c r="C148" t="s">
        <v>229</v>
      </c>
      <c r="D148" t="s">
        <v>79</v>
      </c>
      <c r="E148" t="s">
        <v>56</v>
      </c>
      <c r="F148" t="s">
        <v>55</v>
      </c>
      <c r="G148" t="s">
        <v>130</v>
      </c>
      <c r="H148">
        <v>0</v>
      </c>
      <c r="I148" t="s">
        <v>21</v>
      </c>
      <c r="J148">
        <v>0</v>
      </c>
      <c r="K148">
        <v>0</v>
      </c>
      <c r="L148">
        <v>0</v>
      </c>
      <c r="M148">
        <v>1</v>
      </c>
      <c r="N148" s="1">
        <v>0</v>
      </c>
      <c r="O148">
        <v>0</v>
      </c>
      <c r="P148" t="s">
        <v>77</v>
      </c>
      <c r="Q148" s="1">
        <v>0</v>
      </c>
    </row>
    <row r="149" spans="1:17">
      <c r="A149" t="s">
        <v>19</v>
      </c>
      <c r="B149" t="s">
        <v>53</v>
      </c>
      <c r="C149" t="s">
        <v>230</v>
      </c>
      <c r="D149" t="s">
        <v>82</v>
      </c>
      <c r="E149" t="s">
        <v>56</v>
      </c>
      <c r="F149" t="s">
        <v>55</v>
      </c>
      <c r="G149" t="s">
        <v>130</v>
      </c>
      <c r="H149">
        <v>0</v>
      </c>
      <c r="I149" t="s">
        <v>21</v>
      </c>
      <c r="J149">
        <v>0</v>
      </c>
      <c r="K149">
        <v>0</v>
      </c>
      <c r="L149">
        <v>0</v>
      </c>
      <c r="M149">
        <v>1</v>
      </c>
      <c r="N149" s="1">
        <v>0</v>
      </c>
      <c r="O149">
        <v>0</v>
      </c>
      <c r="P149" t="s">
        <v>77</v>
      </c>
      <c r="Q149" s="1">
        <v>0</v>
      </c>
    </row>
    <row r="150" spans="1:17">
      <c r="A150" t="s">
        <v>19</v>
      </c>
      <c r="B150" t="s">
        <v>53</v>
      </c>
      <c r="C150" t="s">
        <v>231</v>
      </c>
      <c r="D150" t="s">
        <v>75</v>
      </c>
      <c r="E150" t="s">
        <v>56</v>
      </c>
      <c r="F150" t="s">
        <v>55</v>
      </c>
      <c r="G150" t="s">
        <v>130</v>
      </c>
      <c r="H150">
        <v>0</v>
      </c>
      <c r="I150" t="s">
        <v>21</v>
      </c>
      <c r="J150">
        <v>0</v>
      </c>
      <c r="K150">
        <v>0</v>
      </c>
      <c r="L150">
        <v>0</v>
      </c>
      <c r="M150">
        <v>0</v>
      </c>
      <c r="N150" t="s">
        <v>77</v>
      </c>
      <c r="O150">
        <v>0</v>
      </c>
      <c r="P150" t="s">
        <v>77</v>
      </c>
      <c r="Q150" s="1">
        <v>0</v>
      </c>
    </row>
    <row r="151" spans="1:17">
      <c r="A151" t="s">
        <v>19</v>
      </c>
      <c r="B151" t="s">
        <v>53</v>
      </c>
      <c r="C151" t="s">
        <v>232</v>
      </c>
      <c r="D151" t="s">
        <v>79</v>
      </c>
      <c r="E151" t="s">
        <v>56</v>
      </c>
      <c r="F151" t="s">
        <v>55</v>
      </c>
      <c r="G151" t="s">
        <v>130</v>
      </c>
      <c r="H151">
        <v>0</v>
      </c>
      <c r="I151" t="s">
        <v>21</v>
      </c>
      <c r="J151">
        <v>0</v>
      </c>
      <c r="K151">
        <v>0</v>
      </c>
      <c r="L151">
        <v>0</v>
      </c>
      <c r="M151">
        <v>1</v>
      </c>
      <c r="N151" s="1">
        <v>0</v>
      </c>
      <c r="O151">
        <v>0</v>
      </c>
      <c r="P151" t="s">
        <v>77</v>
      </c>
      <c r="Q151" s="1">
        <v>0</v>
      </c>
    </row>
    <row r="152" spans="1:17">
      <c r="A152" t="s">
        <v>19</v>
      </c>
      <c r="B152" t="s">
        <v>53</v>
      </c>
      <c r="C152" t="s">
        <v>233</v>
      </c>
      <c r="D152" t="s">
        <v>75</v>
      </c>
      <c r="E152" t="s">
        <v>56</v>
      </c>
      <c r="F152" t="s">
        <v>55</v>
      </c>
      <c r="G152" t="s">
        <v>130</v>
      </c>
      <c r="H152">
        <v>1</v>
      </c>
      <c r="I152" t="s">
        <v>21</v>
      </c>
      <c r="J152">
        <v>22.79</v>
      </c>
      <c r="K152">
        <v>7</v>
      </c>
      <c r="L152">
        <v>22.79</v>
      </c>
      <c r="M152">
        <v>166</v>
      </c>
      <c r="N152" s="1">
        <v>4.2200000000000001E-2</v>
      </c>
      <c r="O152">
        <v>3.26</v>
      </c>
      <c r="P152" t="s">
        <v>77</v>
      </c>
      <c r="Q152" s="1">
        <v>0.1429</v>
      </c>
    </row>
    <row r="153" spans="1:17">
      <c r="A153" t="s">
        <v>19</v>
      </c>
      <c r="B153" t="s">
        <v>53</v>
      </c>
      <c r="C153" t="s">
        <v>234</v>
      </c>
      <c r="D153" t="s">
        <v>75</v>
      </c>
      <c r="E153" t="s">
        <v>56</v>
      </c>
      <c r="F153" t="s">
        <v>55</v>
      </c>
      <c r="G153" t="s">
        <v>130</v>
      </c>
      <c r="H153">
        <v>0</v>
      </c>
      <c r="I153" t="s">
        <v>21</v>
      </c>
      <c r="J153">
        <v>0</v>
      </c>
      <c r="K153">
        <v>0</v>
      </c>
      <c r="L153">
        <v>0</v>
      </c>
      <c r="M153">
        <v>0</v>
      </c>
      <c r="N153" t="s">
        <v>77</v>
      </c>
      <c r="O153">
        <v>0</v>
      </c>
      <c r="P153" t="s">
        <v>77</v>
      </c>
      <c r="Q153" s="1">
        <v>0</v>
      </c>
    </row>
    <row r="154" spans="1:17">
      <c r="A154" t="s">
        <v>19</v>
      </c>
      <c r="B154" t="s">
        <v>53</v>
      </c>
      <c r="C154" t="s">
        <v>235</v>
      </c>
      <c r="D154" t="s">
        <v>79</v>
      </c>
      <c r="E154" t="s">
        <v>56</v>
      </c>
      <c r="F154" t="s">
        <v>55</v>
      </c>
      <c r="G154" t="s">
        <v>130</v>
      </c>
      <c r="H154">
        <v>0</v>
      </c>
      <c r="I154" t="s">
        <v>21</v>
      </c>
      <c r="J154">
        <v>0</v>
      </c>
      <c r="K154">
        <v>0</v>
      </c>
      <c r="L154">
        <v>0</v>
      </c>
      <c r="M154">
        <v>0</v>
      </c>
      <c r="N154" t="s">
        <v>77</v>
      </c>
      <c r="O154">
        <v>0</v>
      </c>
      <c r="P154" t="s">
        <v>77</v>
      </c>
      <c r="Q154" s="1">
        <v>0</v>
      </c>
    </row>
    <row r="155" spans="1:17">
      <c r="A155" t="s">
        <v>19</v>
      </c>
      <c r="B155" t="s">
        <v>53</v>
      </c>
      <c r="C155" t="s">
        <v>236</v>
      </c>
      <c r="D155" t="s">
        <v>82</v>
      </c>
      <c r="E155" t="s">
        <v>56</v>
      </c>
      <c r="F155" t="s">
        <v>55</v>
      </c>
      <c r="G155" t="s">
        <v>130</v>
      </c>
      <c r="H155">
        <v>0</v>
      </c>
      <c r="I155" t="s">
        <v>21</v>
      </c>
      <c r="J155">
        <v>0</v>
      </c>
      <c r="K155">
        <v>0</v>
      </c>
      <c r="L155">
        <v>0</v>
      </c>
      <c r="M155">
        <v>0</v>
      </c>
      <c r="N155" t="s">
        <v>77</v>
      </c>
      <c r="O155">
        <v>0</v>
      </c>
      <c r="P155" t="s">
        <v>77</v>
      </c>
      <c r="Q155" s="1">
        <v>0</v>
      </c>
    </row>
    <row r="156" spans="1:17">
      <c r="A156" t="s">
        <v>19</v>
      </c>
      <c r="B156" t="s">
        <v>53</v>
      </c>
      <c r="C156" t="s">
        <v>237</v>
      </c>
      <c r="D156" t="s">
        <v>82</v>
      </c>
      <c r="E156" t="s">
        <v>56</v>
      </c>
      <c r="F156" t="s">
        <v>55</v>
      </c>
      <c r="G156" t="s">
        <v>130</v>
      </c>
      <c r="H156">
        <v>0</v>
      </c>
      <c r="I156" t="s">
        <v>21</v>
      </c>
      <c r="J156">
        <v>0</v>
      </c>
      <c r="K156">
        <v>0</v>
      </c>
      <c r="L156">
        <v>0</v>
      </c>
      <c r="M156">
        <v>0</v>
      </c>
      <c r="N156" t="s">
        <v>77</v>
      </c>
      <c r="O156">
        <v>0</v>
      </c>
      <c r="P156" t="s">
        <v>77</v>
      </c>
      <c r="Q156" s="1">
        <v>0</v>
      </c>
    </row>
    <row r="157" spans="1:17">
      <c r="A157" t="s">
        <v>19</v>
      </c>
      <c r="B157" t="s">
        <v>53</v>
      </c>
      <c r="C157" t="s">
        <v>238</v>
      </c>
      <c r="D157" t="s">
        <v>75</v>
      </c>
      <c r="E157" t="s">
        <v>54</v>
      </c>
      <c r="F157" t="s">
        <v>55</v>
      </c>
      <c r="G157" t="s">
        <v>130</v>
      </c>
      <c r="H157">
        <v>0</v>
      </c>
      <c r="I157" t="s">
        <v>21</v>
      </c>
      <c r="J157">
        <v>0</v>
      </c>
      <c r="K157">
        <v>2</v>
      </c>
      <c r="L157">
        <v>7.21</v>
      </c>
      <c r="M157">
        <v>62</v>
      </c>
      <c r="N157" s="1">
        <v>3.2300000000000002E-2</v>
      </c>
      <c r="O157">
        <v>3.61</v>
      </c>
      <c r="P157" t="s">
        <v>77</v>
      </c>
      <c r="Q157" s="1">
        <v>0</v>
      </c>
    </row>
    <row r="158" spans="1:17">
      <c r="A158" t="s">
        <v>19</v>
      </c>
      <c r="B158" t="s">
        <v>53</v>
      </c>
      <c r="C158" t="s">
        <v>239</v>
      </c>
      <c r="D158" t="s">
        <v>75</v>
      </c>
      <c r="E158" t="s">
        <v>54</v>
      </c>
      <c r="F158" t="s">
        <v>55</v>
      </c>
      <c r="G158" t="s">
        <v>130</v>
      </c>
      <c r="H158">
        <v>0</v>
      </c>
      <c r="I158" t="s">
        <v>21</v>
      </c>
      <c r="J158">
        <v>0</v>
      </c>
      <c r="K158">
        <v>0</v>
      </c>
      <c r="L158">
        <v>0</v>
      </c>
      <c r="M158">
        <v>0</v>
      </c>
      <c r="N158" t="s">
        <v>77</v>
      </c>
      <c r="O158">
        <v>0</v>
      </c>
      <c r="P158" t="s">
        <v>77</v>
      </c>
      <c r="Q158" s="1">
        <v>0</v>
      </c>
    </row>
    <row r="159" spans="1:17">
      <c r="A159" t="s">
        <v>19</v>
      </c>
      <c r="B159" t="s">
        <v>53</v>
      </c>
      <c r="C159" t="s">
        <v>240</v>
      </c>
      <c r="D159" t="s">
        <v>75</v>
      </c>
      <c r="E159" t="s">
        <v>54</v>
      </c>
      <c r="F159" t="s">
        <v>55</v>
      </c>
      <c r="G159" t="s">
        <v>130</v>
      </c>
      <c r="H159">
        <v>0</v>
      </c>
      <c r="I159" t="s">
        <v>21</v>
      </c>
      <c r="J159">
        <v>0</v>
      </c>
      <c r="K159">
        <v>1</v>
      </c>
      <c r="L159">
        <v>4.58</v>
      </c>
      <c r="M159">
        <v>6</v>
      </c>
      <c r="N159" s="1">
        <v>0.16669999999999999</v>
      </c>
      <c r="O159">
        <v>4.58</v>
      </c>
      <c r="P159" t="s">
        <v>77</v>
      </c>
      <c r="Q159" s="1">
        <v>0</v>
      </c>
    </row>
    <row r="160" spans="1:17">
      <c r="A160" t="s">
        <v>19</v>
      </c>
      <c r="B160" t="s">
        <v>18</v>
      </c>
      <c r="C160" t="s">
        <v>241</v>
      </c>
      <c r="D160" t="s">
        <v>75</v>
      </c>
      <c r="E160" t="s">
        <v>54</v>
      </c>
      <c r="F160" t="s">
        <v>18</v>
      </c>
      <c r="G160" t="s">
        <v>153</v>
      </c>
      <c r="H160">
        <v>0</v>
      </c>
      <c r="I160" t="s">
        <v>21</v>
      </c>
      <c r="J160">
        <v>0</v>
      </c>
      <c r="K160">
        <v>3</v>
      </c>
      <c r="L160">
        <v>16.09</v>
      </c>
      <c r="M160">
        <v>69</v>
      </c>
      <c r="N160" s="1">
        <v>4.3499999999999997E-2</v>
      </c>
      <c r="O160">
        <v>5.36</v>
      </c>
      <c r="P160" t="s">
        <v>77</v>
      </c>
      <c r="Q160" s="1">
        <v>0</v>
      </c>
    </row>
    <row r="161" spans="1:17">
      <c r="A161" t="s">
        <v>19</v>
      </c>
      <c r="B161" t="s">
        <v>53</v>
      </c>
      <c r="C161" t="s">
        <v>242</v>
      </c>
      <c r="D161" t="s">
        <v>75</v>
      </c>
      <c r="E161" t="s">
        <v>54</v>
      </c>
      <c r="F161" t="s">
        <v>55</v>
      </c>
      <c r="G161" t="s">
        <v>130</v>
      </c>
      <c r="H161">
        <v>0</v>
      </c>
      <c r="I161" t="s">
        <v>21</v>
      </c>
      <c r="J161">
        <v>0</v>
      </c>
      <c r="K161">
        <v>0</v>
      </c>
      <c r="L161">
        <v>0</v>
      </c>
      <c r="M161">
        <v>0</v>
      </c>
      <c r="N161" t="s">
        <v>77</v>
      </c>
      <c r="O161">
        <v>0</v>
      </c>
      <c r="P161" t="s">
        <v>77</v>
      </c>
      <c r="Q161" s="1">
        <v>0</v>
      </c>
    </row>
    <row r="162" spans="1:17">
      <c r="A162" t="s">
        <v>19</v>
      </c>
      <c r="B162" t="s">
        <v>18</v>
      </c>
      <c r="C162" t="s">
        <v>243</v>
      </c>
      <c r="D162" t="s">
        <v>75</v>
      </c>
      <c r="E162" t="s">
        <v>54</v>
      </c>
      <c r="F162" t="s">
        <v>18</v>
      </c>
      <c r="G162" t="s">
        <v>153</v>
      </c>
      <c r="H162">
        <v>0</v>
      </c>
      <c r="I162" t="s">
        <v>21</v>
      </c>
      <c r="J162">
        <v>0</v>
      </c>
      <c r="K162">
        <v>0</v>
      </c>
      <c r="L162">
        <v>0</v>
      </c>
      <c r="M162">
        <v>72</v>
      </c>
      <c r="N162" s="1">
        <v>0</v>
      </c>
      <c r="O162">
        <v>0</v>
      </c>
      <c r="P162">
        <v>8</v>
      </c>
      <c r="Q162" s="1">
        <v>0</v>
      </c>
    </row>
    <row r="163" spans="1:17">
      <c r="A163" t="s">
        <v>19</v>
      </c>
      <c r="B163" t="s">
        <v>53</v>
      </c>
      <c r="C163" t="s">
        <v>244</v>
      </c>
      <c r="D163" t="s">
        <v>75</v>
      </c>
      <c r="E163" t="s">
        <v>54</v>
      </c>
      <c r="F163" t="s">
        <v>55</v>
      </c>
      <c r="G163" t="s">
        <v>130</v>
      </c>
      <c r="H163">
        <v>0</v>
      </c>
      <c r="I163" t="s">
        <v>21</v>
      </c>
      <c r="J163">
        <v>0</v>
      </c>
      <c r="K163">
        <v>3</v>
      </c>
      <c r="L163">
        <v>10.8</v>
      </c>
      <c r="M163">
        <v>110</v>
      </c>
      <c r="N163" s="1">
        <v>2.7300000000000001E-2</v>
      </c>
      <c r="O163">
        <v>3.6</v>
      </c>
      <c r="P163" t="s">
        <v>77</v>
      </c>
      <c r="Q163" s="1">
        <v>0</v>
      </c>
    </row>
    <row r="164" spans="1:17">
      <c r="A164" t="s">
        <v>19</v>
      </c>
      <c r="B164" t="s">
        <v>53</v>
      </c>
      <c r="C164" t="s">
        <v>245</v>
      </c>
      <c r="D164" t="s">
        <v>75</v>
      </c>
      <c r="E164" t="s">
        <v>54</v>
      </c>
      <c r="F164" t="s">
        <v>55</v>
      </c>
      <c r="G164" t="s">
        <v>130</v>
      </c>
      <c r="H164">
        <v>0</v>
      </c>
      <c r="I164" t="s">
        <v>21</v>
      </c>
      <c r="J164">
        <v>0</v>
      </c>
      <c r="K164">
        <v>0</v>
      </c>
      <c r="L164">
        <v>0</v>
      </c>
      <c r="M164">
        <v>0</v>
      </c>
      <c r="N164" t="s">
        <v>77</v>
      </c>
      <c r="O164">
        <v>0</v>
      </c>
      <c r="P164" t="s">
        <v>77</v>
      </c>
      <c r="Q164" s="1">
        <v>0</v>
      </c>
    </row>
    <row r="165" spans="1:17">
      <c r="A165" t="s">
        <v>19</v>
      </c>
      <c r="B165" t="s">
        <v>53</v>
      </c>
      <c r="C165" t="s">
        <v>246</v>
      </c>
      <c r="D165" t="s">
        <v>75</v>
      </c>
      <c r="E165" t="s">
        <v>54</v>
      </c>
      <c r="F165" t="s">
        <v>55</v>
      </c>
      <c r="G165" t="s">
        <v>130</v>
      </c>
      <c r="H165">
        <v>0</v>
      </c>
      <c r="I165" t="s">
        <v>21</v>
      </c>
      <c r="J165">
        <v>0</v>
      </c>
      <c r="K165">
        <v>0</v>
      </c>
      <c r="L165">
        <v>0</v>
      </c>
      <c r="M165">
        <v>0</v>
      </c>
      <c r="N165" t="s">
        <v>77</v>
      </c>
      <c r="O165">
        <v>0</v>
      </c>
      <c r="P165" t="s">
        <v>77</v>
      </c>
      <c r="Q165" s="1">
        <v>0</v>
      </c>
    </row>
    <row r="166" spans="1:17">
      <c r="A166" t="s">
        <v>19</v>
      </c>
      <c r="B166" t="s">
        <v>53</v>
      </c>
      <c r="C166" t="s">
        <v>247</v>
      </c>
      <c r="D166" t="s">
        <v>79</v>
      </c>
      <c r="E166" t="s">
        <v>54</v>
      </c>
      <c r="F166" t="s">
        <v>55</v>
      </c>
      <c r="G166" t="s">
        <v>130</v>
      </c>
      <c r="H166">
        <v>0</v>
      </c>
      <c r="I166" t="s">
        <v>21</v>
      </c>
      <c r="J166">
        <v>0</v>
      </c>
      <c r="K166">
        <v>0</v>
      </c>
      <c r="L166">
        <v>0</v>
      </c>
      <c r="M166">
        <v>0</v>
      </c>
      <c r="N166" t="s">
        <v>77</v>
      </c>
      <c r="O166">
        <v>0</v>
      </c>
      <c r="P166" t="s">
        <v>77</v>
      </c>
      <c r="Q166" s="1">
        <v>0</v>
      </c>
    </row>
    <row r="167" spans="1:17">
      <c r="A167" t="s">
        <v>19</v>
      </c>
      <c r="B167" t="s">
        <v>53</v>
      </c>
      <c r="C167" t="s">
        <v>248</v>
      </c>
      <c r="D167" t="s">
        <v>75</v>
      </c>
      <c r="E167" t="s">
        <v>54</v>
      </c>
      <c r="F167" t="s">
        <v>55</v>
      </c>
      <c r="G167" t="s">
        <v>130</v>
      </c>
      <c r="H167">
        <v>0</v>
      </c>
      <c r="I167" t="s">
        <v>21</v>
      </c>
      <c r="J167">
        <v>0</v>
      </c>
      <c r="K167">
        <v>0</v>
      </c>
      <c r="L167">
        <v>0</v>
      </c>
      <c r="M167">
        <v>0</v>
      </c>
      <c r="N167" t="s">
        <v>77</v>
      </c>
      <c r="O167">
        <v>0</v>
      </c>
      <c r="P167" t="s">
        <v>77</v>
      </c>
      <c r="Q167" s="1">
        <v>0</v>
      </c>
    </row>
    <row r="168" spans="1:17">
      <c r="A168" t="s">
        <v>19</v>
      </c>
      <c r="B168" t="s">
        <v>53</v>
      </c>
      <c r="C168" t="s">
        <v>249</v>
      </c>
      <c r="D168" t="s">
        <v>75</v>
      </c>
      <c r="E168" t="s">
        <v>54</v>
      </c>
      <c r="F168" t="s">
        <v>55</v>
      </c>
      <c r="G168" t="s">
        <v>130</v>
      </c>
      <c r="H168">
        <v>0</v>
      </c>
      <c r="I168" t="s">
        <v>21</v>
      </c>
      <c r="J168">
        <v>0</v>
      </c>
      <c r="K168">
        <v>0</v>
      </c>
      <c r="L168">
        <v>0</v>
      </c>
      <c r="M168">
        <v>0</v>
      </c>
      <c r="N168" t="s">
        <v>77</v>
      </c>
      <c r="O168">
        <v>0</v>
      </c>
      <c r="P168" t="s">
        <v>77</v>
      </c>
      <c r="Q168" s="1">
        <v>0</v>
      </c>
    </row>
    <row r="169" spans="1:17">
      <c r="A169" t="s">
        <v>19</v>
      </c>
      <c r="B169" t="s">
        <v>53</v>
      </c>
      <c r="C169" t="s">
        <v>250</v>
      </c>
      <c r="D169" t="s">
        <v>79</v>
      </c>
      <c r="E169" t="s">
        <v>54</v>
      </c>
      <c r="F169" t="s">
        <v>55</v>
      </c>
      <c r="G169" t="s">
        <v>130</v>
      </c>
      <c r="H169">
        <v>0</v>
      </c>
      <c r="I169" t="s">
        <v>21</v>
      </c>
      <c r="J169">
        <v>0</v>
      </c>
      <c r="K169">
        <v>0</v>
      </c>
      <c r="L169">
        <v>0</v>
      </c>
      <c r="M169">
        <v>1</v>
      </c>
      <c r="N169" s="1">
        <v>0</v>
      </c>
      <c r="O169">
        <v>0</v>
      </c>
      <c r="P169" t="s">
        <v>77</v>
      </c>
      <c r="Q169" s="1">
        <v>0</v>
      </c>
    </row>
    <row r="170" spans="1:17">
      <c r="A170" t="s">
        <v>19</v>
      </c>
      <c r="B170" t="s">
        <v>53</v>
      </c>
      <c r="C170" t="s">
        <v>251</v>
      </c>
      <c r="D170" t="s">
        <v>75</v>
      </c>
      <c r="E170" t="s">
        <v>54</v>
      </c>
      <c r="F170" t="s">
        <v>55</v>
      </c>
      <c r="G170" t="s">
        <v>130</v>
      </c>
      <c r="H170">
        <v>0</v>
      </c>
      <c r="I170" t="s">
        <v>21</v>
      </c>
      <c r="J170">
        <v>0</v>
      </c>
      <c r="K170">
        <v>0</v>
      </c>
      <c r="L170">
        <v>0</v>
      </c>
      <c r="M170">
        <v>0</v>
      </c>
      <c r="N170" t="s">
        <v>77</v>
      </c>
      <c r="O170">
        <v>0</v>
      </c>
      <c r="P170" t="s">
        <v>77</v>
      </c>
      <c r="Q170" s="1">
        <v>0</v>
      </c>
    </row>
    <row r="171" spans="1:17">
      <c r="A171" t="s">
        <v>19</v>
      </c>
      <c r="B171" t="s">
        <v>53</v>
      </c>
      <c r="C171" t="s">
        <v>252</v>
      </c>
      <c r="D171" t="s">
        <v>75</v>
      </c>
      <c r="E171" t="s">
        <v>54</v>
      </c>
      <c r="F171" t="s">
        <v>55</v>
      </c>
      <c r="G171" t="s">
        <v>130</v>
      </c>
      <c r="H171">
        <v>0</v>
      </c>
      <c r="I171" t="s">
        <v>21</v>
      </c>
      <c r="J171">
        <v>0</v>
      </c>
      <c r="K171">
        <v>2</v>
      </c>
      <c r="L171">
        <v>8.17</v>
      </c>
      <c r="M171">
        <v>47</v>
      </c>
      <c r="N171" s="1">
        <v>4.2599999999999999E-2</v>
      </c>
      <c r="O171">
        <v>4.09</v>
      </c>
      <c r="P171" t="s">
        <v>77</v>
      </c>
      <c r="Q171" s="1">
        <v>0</v>
      </c>
    </row>
    <row r="172" spans="1:17">
      <c r="A172" t="s">
        <v>19</v>
      </c>
      <c r="B172" t="s">
        <v>53</v>
      </c>
      <c r="C172" t="s">
        <v>253</v>
      </c>
      <c r="D172" t="s">
        <v>75</v>
      </c>
      <c r="E172" t="s">
        <v>54</v>
      </c>
      <c r="F172" t="s">
        <v>55</v>
      </c>
      <c r="G172" t="s">
        <v>130</v>
      </c>
      <c r="H172">
        <v>0</v>
      </c>
      <c r="I172" t="s">
        <v>21</v>
      </c>
      <c r="J172">
        <v>0</v>
      </c>
      <c r="K172">
        <v>0</v>
      </c>
      <c r="L172">
        <v>0</v>
      </c>
      <c r="M172">
        <v>0</v>
      </c>
      <c r="N172" t="s">
        <v>77</v>
      </c>
      <c r="O172">
        <v>0</v>
      </c>
      <c r="P172" t="s">
        <v>77</v>
      </c>
      <c r="Q172" s="1">
        <v>0</v>
      </c>
    </row>
    <row r="173" spans="1:17">
      <c r="A173" t="s">
        <v>19</v>
      </c>
      <c r="B173" t="s">
        <v>53</v>
      </c>
      <c r="C173" t="s">
        <v>254</v>
      </c>
      <c r="D173" t="s">
        <v>75</v>
      </c>
      <c r="E173" t="s">
        <v>54</v>
      </c>
      <c r="F173" t="s">
        <v>55</v>
      </c>
      <c r="G173" t="s">
        <v>130</v>
      </c>
      <c r="H173">
        <v>0</v>
      </c>
      <c r="I173" t="s">
        <v>21</v>
      </c>
      <c r="J173">
        <v>0</v>
      </c>
      <c r="K173">
        <v>0</v>
      </c>
      <c r="L173">
        <v>0</v>
      </c>
      <c r="M173">
        <v>0</v>
      </c>
      <c r="N173" t="s">
        <v>77</v>
      </c>
      <c r="O173">
        <v>0</v>
      </c>
      <c r="P173" t="s">
        <v>77</v>
      </c>
      <c r="Q173" s="1">
        <v>0</v>
      </c>
    </row>
    <row r="174" spans="1:17">
      <c r="A174" t="s">
        <v>19</v>
      </c>
      <c r="B174" t="s">
        <v>53</v>
      </c>
      <c r="C174" t="s">
        <v>255</v>
      </c>
      <c r="D174" t="s">
        <v>82</v>
      </c>
      <c r="E174" t="s">
        <v>54</v>
      </c>
      <c r="F174" t="s">
        <v>55</v>
      </c>
      <c r="G174" t="s">
        <v>130</v>
      </c>
      <c r="H174">
        <v>0</v>
      </c>
      <c r="I174" t="s">
        <v>21</v>
      </c>
      <c r="J174">
        <v>0</v>
      </c>
      <c r="K174">
        <v>1</v>
      </c>
      <c r="L174">
        <v>5.31</v>
      </c>
      <c r="M174">
        <v>23</v>
      </c>
      <c r="N174" s="1">
        <v>4.3499999999999997E-2</v>
      </c>
      <c r="O174">
        <v>5.31</v>
      </c>
      <c r="P174" t="s">
        <v>77</v>
      </c>
      <c r="Q174" s="1">
        <v>0</v>
      </c>
    </row>
    <row r="175" spans="1:17">
      <c r="A175" t="s">
        <v>19</v>
      </c>
      <c r="B175" t="s">
        <v>53</v>
      </c>
      <c r="C175" t="s">
        <v>256</v>
      </c>
      <c r="D175" t="s">
        <v>75</v>
      </c>
      <c r="E175" t="s">
        <v>54</v>
      </c>
      <c r="F175" t="s">
        <v>55</v>
      </c>
      <c r="G175" t="s">
        <v>130</v>
      </c>
      <c r="H175">
        <v>0</v>
      </c>
      <c r="I175" t="s">
        <v>21</v>
      </c>
      <c r="J175">
        <v>0</v>
      </c>
      <c r="K175">
        <v>0</v>
      </c>
      <c r="L175">
        <v>0</v>
      </c>
      <c r="M175">
        <v>0</v>
      </c>
      <c r="N175" t="s">
        <v>77</v>
      </c>
      <c r="O175">
        <v>0</v>
      </c>
      <c r="P175" t="s">
        <v>77</v>
      </c>
      <c r="Q175" s="1">
        <v>0</v>
      </c>
    </row>
    <row r="176" spans="1:17">
      <c r="A176" t="s">
        <v>19</v>
      </c>
      <c r="B176" t="s">
        <v>53</v>
      </c>
      <c r="C176" t="s">
        <v>257</v>
      </c>
      <c r="D176" t="s">
        <v>75</v>
      </c>
      <c r="E176" t="s">
        <v>54</v>
      </c>
      <c r="F176" t="s">
        <v>55</v>
      </c>
      <c r="G176" t="s">
        <v>130</v>
      </c>
      <c r="H176">
        <v>0</v>
      </c>
      <c r="I176" t="s">
        <v>21</v>
      </c>
      <c r="J176">
        <v>0</v>
      </c>
      <c r="K176">
        <v>0</v>
      </c>
      <c r="L176">
        <v>0</v>
      </c>
      <c r="M176">
        <v>3</v>
      </c>
      <c r="N176" s="1">
        <v>0</v>
      </c>
      <c r="O176">
        <v>0</v>
      </c>
      <c r="P176" t="s">
        <v>77</v>
      </c>
      <c r="Q176" s="1">
        <v>0</v>
      </c>
    </row>
    <row r="177" spans="1:17">
      <c r="A177" t="s">
        <v>19</v>
      </c>
      <c r="B177" t="s">
        <v>53</v>
      </c>
      <c r="C177" t="s">
        <v>258</v>
      </c>
      <c r="D177" t="s">
        <v>75</v>
      </c>
      <c r="E177" t="s">
        <v>54</v>
      </c>
      <c r="F177" t="s">
        <v>55</v>
      </c>
      <c r="G177" t="s">
        <v>130</v>
      </c>
      <c r="H177">
        <v>0</v>
      </c>
      <c r="I177" t="s">
        <v>21</v>
      </c>
      <c r="J177">
        <v>0</v>
      </c>
      <c r="K177">
        <v>0</v>
      </c>
      <c r="L177">
        <v>0</v>
      </c>
      <c r="M177">
        <v>12</v>
      </c>
      <c r="N177" s="1">
        <v>0</v>
      </c>
      <c r="O177">
        <v>0</v>
      </c>
      <c r="P177" t="s">
        <v>77</v>
      </c>
      <c r="Q177" s="1">
        <v>0</v>
      </c>
    </row>
    <row r="178" spans="1:17">
      <c r="A178" t="s">
        <v>19</v>
      </c>
      <c r="B178" t="s">
        <v>53</v>
      </c>
      <c r="C178" t="s">
        <v>259</v>
      </c>
      <c r="D178" t="s">
        <v>82</v>
      </c>
      <c r="E178" t="s">
        <v>54</v>
      </c>
      <c r="F178" t="s">
        <v>55</v>
      </c>
      <c r="G178" t="s">
        <v>130</v>
      </c>
      <c r="H178">
        <v>0</v>
      </c>
      <c r="I178" t="s">
        <v>21</v>
      </c>
      <c r="J178">
        <v>0</v>
      </c>
      <c r="K178">
        <v>0</v>
      </c>
      <c r="L178">
        <v>0</v>
      </c>
      <c r="M178">
        <v>0</v>
      </c>
      <c r="N178" t="s">
        <v>77</v>
      </c>
      <c r="O178">
        <v>0</v>
      </c>
      <c r="P178" t="s">
        <v>77</v>
      </c>
      <c r="Q178" s="1">
        <v>0</v>
      </c>
    </row>
    <row r="179" spans="1:17">
      <c r="A179" t="s">
        <v>19</v>
      </c>
      <c r="B179" t="s">
        <v>53</v>
      </c>
      <c r="C179" t="s">
        <v>260</v>
      </c>
      <c r="D179" t="s">
        <v>75</v>
      </c>
      <c r="E179" t="s">
        <v>54</v>
      </c>
      <c r="F179" t="s">
        <v>55</v>
      </c>
      <c r="G179" t="s">
        <v>130</v>
      </c>
      <c r="H179">
        <v>0</v>
      </c>
      <c r="I179" t="s">
        <v>21</v>
      </c>
      <c r="J179">
        <v>0</v>
      </c>
      <c r="K179">
        <v>0</v>
      </c>
      <c r="L179">
        <v>0</v>
      </c>
      <c r="M179">
        <v>0</v>
      </c>
      <c r="N179" t="s">
        <v>77</v>
      </c>
      <c r="O179">
        <v>0</v>
      </c>
      <c r="P179" t="s">
        <v>77</v>
      </c>
      <c r="Q179" s="1">
        <v>0</v>
      </c>
    </row>
    <row r="180" spans="1:17">
      <c r="A180" t="s">
        <v>19</v>
      </c>
      <c r="B180" t="s">
        <v>53</v>
      </c>
      <c r="C180" t="s">
        <v>261</v>
      </c>
      <c r="D180" t="s">
        <v>75</v>
      </c>
      <c r="E180" t="s">
        <v>54</v>
      </c>
      <c r="F180" t="s">
        <v>55</v>
      </c>
      <c r="G180" t="s">
        <v>130</v>
      </c>
      <c r="H180">
        <v>0</v>
      </c>
      <c r="I180" t="s">
        <v>21</v>
      </c>
      <c r="J180">
        <v>0</v>
      </c>
      <c r="K180">
        <v>0</v>
      </c>
      <c r="L180">
        <v>0</v>
      </c>
      <c r="M180">
        <v>0</v>
      </c>
      <c r="N180" t="s">
        <v>77</v>
      </c>
      <c r="O180">
        <v>0</v>
      </c>
      <c r="P180" t="s">
        <v>77</v>
      </c>
      <c r="Q180" s="1">
        <v>0</v>
      </c>
    </row>
    <row r="181" spans="1:17">
      <c r="A181" t="s">
        <v>19</v>
      </c>
      <c r="B181" t="s">
        <v>53</v>
      </c>
      <c r="C181" t="s">
        <v>262</v>
      </c>
      <c r="D181" t="s">
        <v>75</v>
      </c>
      <c r="E181" t="s">
        <v>54</v>
      </c>
      <c r="F181" t="s">
        <v>55</v>
      </c>
      <c r="G181" t="s">
        <v>130</v>
      </c>
      <c r="H181">
        <v>0</v>
      </c>
      <c r="I181" t="s">
        <v>21</v>
      </c>
      <c r="J181">
        <v>0</v>
      </c>
      <c r="K181">
        <v>0</v>
      </c>
      <c r="L181">
        <v>0</v>
      </c>
      <c r="M181">
        <v>20</v>
      </c>
      <c r="N181" s="1">
        <v>0</v>
      </c>
      <c r="O181">
        <v>0</v>
      </c>
      <c r="P181" t="s">
        <v>77</v>
      </c>
      <c r="Q181" s="1">
        <v>0</v>
      </c>
    </row>
    <row r="182" spans="1:17">
      <c r="A182" t="s">
        <v>19</v>
      </c>
      <c r="B182" t="s">
        <v>53</v>
      </c>
      <c r="C182" t="s">
        <v>263</v>
      </c>
      <c r="D182" t="s">
        <v>75</v>
      </c>
      <c r="E182" t="s">
        <v>54</v>
      </c>
      <c r="F182" t="s">
        <v>55</v>
      </c>
      <c r="G182" t="s">
        <v>130</v>
      </c>
      <c r="H182">
        <v>0</v>
      </c>
      <c r="I182" t="s">
        <v>21</v>
      </c>
      <c r="J182">
        <v>0</v>
      </c>
      <c r="K182">
        <v>1</v>
      </c>
      <c r="L182">
        <v>1.92</v>
      </c>
      <c r="M182">
        <v>8</v>
      </c>
      <c r="N182" s="1">
        <v>0.125</v>
      </c>
      <c r="O182">
        <v>1.92</v>
      </c>
      <c r="P182" t="s">
        <v>77</v>
      </c>
      <c r="Q182" s="1">
        <v>0</v>
      </c>
    </row>
    <row r="183" spans="1:17">
      <c r="A183" t="s">
        <v>19</v>
      </c>
      <c r="B183" t="s">
        <v>53</v>
      </c>
      <c r="C183" t="s">
        <v>264</v>
      </c>
      <c r="D183" t="s">
        <v>75</v>
      </c>
      <c r="E183" t="s">
        <v>54</v>
      </c>
      <c r="F183" t="s">
        <v>55</v>
      </c>
      <c r="G183" t="s">
        <v>130</v>
      </c>
      <c r="H183">
        <v>0</v>
      </c>
      <c r="I183" t="s">
        <v>21</v>
      </c>
      <c r="J183">
        <v>0</v>
      </c>
      <c r="K183">
        <v>2</v>
      </c>
      <c r="L183">
        <v>6.89</v>
      </c>
      <c r="M183">
        <v>89</v>
      </c>
      <c r="N183" s="1">
        <v>2.2499999999999999E-2</v>
      </c>
      <c r="O183">
        <v>3.45</v>
      </c>
      <c r="P183" t="s">
        <v>77</v>
      </c>
      <c r="Q183" s="1">
        <v>0</v>
      </c>
    </row>
    <row r="184" spans="1:17">
      <c r="A184" t="s">
        <v>19</v>
      </c>
      <c r="B184" t="s">
        <v>53</v>
      </c>
      <c r="C184" t="s">
        <v>265</v>
      </c>
      <c r="D184" t="s">
        <v>75</v>
      </c>
      <c r="E184" t="s">
        <v>54</v>
      </c>
      <c r="F184" t="s">
        <v>55</v>
      </c>
      <c r="G184" t="s">
        <v>130</v>
      </c>
      <c r="H184">
        <v>0</v>
      </c>
      <c r="I184" t="s">
        <v>21</v>
      </c>
      <c r="J184">
        <v>0</v>
      </c>
      <c r="K184">
        <v>0</v>
      </c>
      <c r="L184">
        <v>0</v>
      </c>
      <c r="M184">
        <v>0</v>
      </c>
      <c r="N184" t="s">
        <v>77</v>
      </c>
      <c r="O184">
        <v>0</v>
      </c>
      <c r="P184" t="s">
        <v>77</v>
      </c>
      <c r="Q184" s="1">
        <v>0</v>
      </c>
    </row>
    <row r="185" spans="1:17">
      <c r="A185" t="s">
        <v>19</v>
      </c>
      <c r="B185" t="s">
        <v>53</v>
      </c>
      <c r="C185" t="s">
        <v>266</v>
      </c>
      <c r="D185" t="s">
        <v>79</v>
      </c>
      <c r="E185" t="s">
        <v>54</v>
      </c>
      <c r="F185" t="s">
        <v>55</v>
      </c>
      <c r="G185" t="s">
        <v>130</v>
      </c>
      <c r="H185">
        <v>0</v>
      </c>
      <c r="I185" t="s">
        <v>21</v>
      </c>
      <c r="J185">
        <v>0</v>
      </c>
      <c r="K185">
        <v>0</v>
      </c>
      <c r="L185">
        <v>0</v>
      </c>
      <c r="M185">
        <v>0</v>
      </c>
      <c r="N185" t="s">
        <v>77</v>
      </c>
      <c r="O185">
        <v>0</v>
      </c>
      <c r="P185" t="s">
        <v>77</v>
      </c>
      <c r="Q185" s="1">
        <v>0</v>
      </c>
    </row>
    <row r="186" spans="1:17">
      <c r="A186" t="s">
        <v>19</v>
      </c>
      <c r="B186" t="s">
        <v>53</v>
      </c>
      <c r="C186" t="s">
        <v>267</v>
      </c>
      <c r="D186" t="s">
        <v>75</v>
      </c>
      <c r="E186" t="s">
        <v>54</v>
      </c>
      <c r="F186" t="s">
        <v>55</v>
      </c>
      <c r="G186" t="s">
        <v>130</v>
      </c>
      <c r="H186">
        <v>0</v>
      </c>
      <c r="I186" t="s">
        <v>21</v>
      </c>
      <c r="J186">
        <v>0</v>
      </c>
      <c r="K186">
        <v>0</v>
      </c>
      <c r="L186">
        <v>0</v>
      </c>
      <c r="M186">
        <v>0</v>
      </c>
      <c r="N186" t="s">
        <v>77</v>
      </c>
      <c r="O186">
        <v>0</v>
      </c>
      <c r="P186" t="s">
        <v>77</v>
      </c>
      <c r="Q186" s="1">
        <v>0</v>
      </c>
    </row>
    <row r="187" spans="1:17">
      <c r="A187" t="s">
        <v>19</v>
      </c>
      <c r="B187" t="s">
        <v>53</v>
      </c>
      <c r="C187" t="s">
        <v>268</v>
      </c>
      <c r="D187" t="s">
        <v>75</v>
      </c>
      <c r="E187" t="s">
        <v>54</v>
      </c>
      <c r="F187" t="s">
        <v>55</v>
      </c>
      <c r="G187" t="s">
        <v>130</v>
      </c>
      <c r="H187">
        <v>0</v>
      </c>
      <c r="I187" t="s">
        <v>21</v>
      </c>
      <c r="J187">
        <v>0</v>
      </c>
      <c r="K187">
        <v>0</v>
      </c>
      <c r="L187">
        <v>0</v>
      </c>
      <c r="M187">
        <v>0</v>
      </c>
      <c r="N187" t="s">
        <v>77</v>
      </c>
      <c r="O187">
        <v>0</v>
      </c>
      <c r="P187" t="s">
        <v>77</v>
      </c>
      <c r="Q187" s="1">
        <v>0</v>
      </c>
    </row>
    <row r="188" spans="1:17">
      <c r="A188" t="s">
        <v>19</v>
      </c>
      <c r="B188" t="s">
        <v>53</v>
      </c>
      <c r="C188" t="s">
        <v>269</v>
      </c>
      <c r="D188" t="s">
        <v>75</v>
      </c>
      <c r="E188" t="s">
        <v>54</v>
      </c>
      <c r="F188" t="s">
        <v>55</v>
      </c>
      <c r="G188" t="s">
        <v>130</v>
      </c>
      <c r="H188">
        <v>0</v>
      </c>
      <c r="I188" t="s">
        <v>21</v>
      </c>
      <c r="J188">
        <v>0</v>
      </c>
      <c r="K188">
        <v>6</v>
      </c>
      <c r="L188">
        <v>19.68</v>
      </c>
      <c r="M188">
        <v>50</v>
      </c>
      <c r="N188" s="1">
        <v>0.12</v>
      </c>
      <c r="O188">
        <v>3.28</v>
      </c>
      <c r="P188">
        <v>5</v>
      </c>
      <c r="Q188" s="1">
        <v>0</v>
      </c>
    </row>
    <row r="189" spans="1:17">
      <c r="A189" t="s">
        <v>19</v>
      </c>
      <c r="B189" t="s">
        <v>53</v>
      </c>
      <c r="C189" t="s">
        <v>270</v>
      </c>
      <c r="D189" t="s">
        <v>75</v>
      </c>
      <c r="E189" t="s">
        <v>54</v>
      </c>
      <c r="F189" t="s">
        <v>55</v>
      </c>
      <c r="G189" t="s">
        <v>130</v>
      </c>
      <c r="H189">
        <v>0</v>
      </c>
      <c r="I189" t="s">
        <v>21</v>
      </c>
      <c r="J189">
        <v>0</v>
      </c>
      <c r="K189">
        <v>0</v>
      </c>
      <c r="L189">
        <v>0</v>
      </c>
      <c r="M189">
        <v>1</v>
      </c>
      <c r="N189" s="1">
        <v>0</v>
      </c>
      <c r="O189">
        <v>0</v>
      </c>
      <c r="P189" t="s">
        <v>77</v>
      </c>
      <c r="Q189" s="1">
        <v>0</v>
      </c>
    </row>
    <row r="190" spans="1:17">
      <c r="A190" t="s">
        <v>19</v>
      </c>
      <c r="B190" t="s">
        <v>53</v>
      </c>
      <c r="C190" t="s">
        <v>271</v>
      </c>
      <c r="D190" t="s">
        <v>75</v>
      </c>
      <c r="E190" t="s">
        <v>54</v>
      </c>
      <c r="F190" t="s">
        <v>55</v>
      </c>
      <c r="G190" t="s">
        <v>130</v>
      </c>
      <c r="H190">
        <v>0</v>
      </c>
      <c r="I190" t="s">
        <v>21</v>
      </c>
      <c r="J190">
        <v>0</v>
      </c>
      <c r="K190">
        <v>0</v>
      </c>
      <c r="L190">
        <v>0</v>
      </c>
      <c r="M190">
        <v>0</v>
      </c>
      <c r="N190" t="s">
        <v>77</v>
      </c>
      <c r="O190">
        <v>0</v>
      </c>
      <c r="P190" t="s">
        <v>77</v>
      </c>
      <c r="Q190" s="1">
        <v>0</v>
      </c>
    </row>
    <row r="191" spans="1:17">
      <c r="A191" t="s">
        <v>19</v>
      </c>
      <c r="B191" t="s">
        <v>53</v>
      </c>
      <c r="C191" t="s">
        <v>272</v>
      </c>
      <c r="D191" t="s">
        <v>75</v>
      </c>
      <c r="E191" t="s">
        <v>54</v>
      </c>
      <c r="F191" t="s">
        <v>55</v>
      </c>
      <c r="G191" t="s">
        <v>130</v>
      </c>
      <c r="H191">
        <v>0</v>
      </c>
      <c r="I191" t="s">
        <v>21</v>
      </c>
      <c r="J191">
        <v>0</v>
      </c>
      <c r="K191">
        <v>0</v>
      </c>
      <c r="L191">
        <v>0</v>
      </c>
      <c r="M191">
        <v>0</v>
      </c>
      <c r="N191" t="s">
        <v>77</v>
      </c>
      <c r="O191">
        <v>0</v>
      </c>
      <c r="P191" t="s">
        <v>77</v>
      </c>
      <c r="Q191" s="1">
        <v>0</v>
      </c>
    </row>
    <row r="192" spans="1:17">
      <c r="A192" t="s">
        <v>19</v>
      </c>
      <c r="B192" t="s">
        <v>53</v>
      </c>
      <c r="C192" t="s">
        <v>273</v>
      </c>
      <c r="D192" t="s">
        <v>82</v>
      </c>
      <c r="E192" t="s">
        <v>54</v>
      </c>
      <c r="F192" t="s">
        <v>55</v>
      </c>
      <c r="G192" t="s">
        <v>130</v>
      </c>
      <c r="H192">
        <v>0</v>
      </c>
      <c r="I192" t="s">
        <v>21</v>
      </c>
      <c r="J192">
        <v>0</v>
      </c>
      <c r="K192">
        <v>0</v>
      </c>
      <c r="L192">
        <v>0</v>
      </c>
      <c r="M192">
        <v>0</v>
      </c>
      <c r="N192" t="s">
        <v>77</v>
      </c>
      <c r="O192">
        <v>0</v>
      </c>
      <c r="P192" t="s">
        <v>77</v>
      </c>
      <c r="Q192" s="1">
        <v>0</v>
      </c>
    </row>
    <row r="193" spans="1:17">
      <c r="A193" t="s">
        <v>19</v>
      </c>
      <c r="B193" t="s">
        <v>53</v>
      </c>
      <c r="C193" t="s">
        <v>274</v>
      </c>
      <c r="D193" t="s">
        <v>82</v>
      </c>
      <c r="E193" t="s">
        <v>54</v>
      </c>
      <c r="F193" t="s">
        <v>55</v>
      </c>
      <c r="G193" t="s">
        <v>130</v>
      </c>
      <c r="H193">
        <v>0</v>
      </c>
      <c r="I193" t="s">
        <v>21</v>
      </c>
      <c r="J193">
        <v>0</v>
      </c>
      <c r="K193">
        <v>0</v>
      </c>
      <c r="L193">
        <v>0</v>
      </c>
      <c r="M193">
        <v>2</v>
      </c>
      <c r="N193" s="1">
        <v>0</v>
      </c>
      <c r="O193">
        <v>0</v>
      </c>
      <c r="P193" t="s">
        <v>77</v>
      </c>
      <c r="Q193" s="1">
        <v>0</v>
      </c>
    </row>
    <row r="194" spans="1:17">
      <c r="A194" t="s">
        <v>19</v>
      </c>
      <c r="B194" t="s">
        <v>53</v>
      </c>
      <c r="C194" t="s">
        <v>275</v>
      </c>
      <c r="D194" t="s">
        <v>75</v>
      </c>
      <c r="E194" t="s">
        <v>54</v>
      </c>
      <c r="F194" t="s">
        <v>55</v>
      </c>
      <c r="G194" t="s">
        <v>130</v>
      </c>
      <c r="H194">
        <v>0</v>
      </c>
      <c r="I194" t="s">
        <v>21</v>
      </c>
      <c r="J194">
        <v>0</v>
      </c>
      <c r="K194">
        <v>0</v>
      </c>
      <c r="L194">
        <v>0</v>
      </c>
      <c r="M194">
        <v>0</v>
      </c>
      <c r="N194" t="s">
        <v>77</v>
      </c>
      <c r="O194">
        <v>0</v>
      </c>
      <c r="P194" t="s">
        <v>77</v>
      </c>
      <c r="Q194" s="1">
        <v>0</v>
      </c>
    </row>
    <row r="195" spans="1:17">
      <c r="A195" t="s">
        <v>19</v>
      </c>
      <c r="B195" t="s">
        <v>53</v>
      </c>
      <c r="C195" t="s">
        <v>276</v>
      </c>
      <c r="D195" t="s">
        <v>75</v>
      </c>
      <c r="E195" t="s">
        <v>54</v>
      </c>
      <c r="F195" t="s">
        <v>55</v>
      </c>
      <c r="G195" t="s">
        <v>130</v>
      </c>
      <c r="H195">
        <v>0</v>
      </c>
      <c r="I195" t="s">
        <v>21</v>
      </c>
      <c r="J195">
        <v>0</v>
      </c>
      <c r="K195">
        <v>0</v>
      </c>
      <c r="L195">
        <v>0</v>
      </c>
      <c r="M195">
        <v>0</v>
      </c>
      <c r="N195" t="s">
        <v>77</v>
      </c>
      <c r="O195">
        <v>0</v>
      </c>
      <c r="P195" t="s">
        <v>77</v>
      </c>
      <c r="Q195" s="1">
        <v>0</v>
      </c>
    </row>
    <row r="196" spans="1:17">
      <c r="A196" t="s">
        <v>19</v>
      </c>
      <c r="B196" t="s">
        <v>53</v>
      </c>
      <c r="C196" t="s">
        <v>277</v>
      </c>
      <c r="D196" t="s">
        <v>75</v>
      </c>
      <c r="E196" t="s">
        <v>54</v>
      </c>
      <c r="F196" t="s">
        <v>55</v>
      </c>
      <c r="G196" t="s">
        <v>130</v>
      </c>
      <c r="H196">
        <v>1</v>
      </c>
      <c r="I196" t="s">
        <v>21</v>
      </c>
      <c r="J196">
        <v>30.82</v>
      </c>
      <c r="K196">
        <v>8</v>
      </c>
      <c r="L196">
        <v>30.82</v>
      </c>
      <c r="M196">
        <v>158</v>
      </c>
      <c r="N196" s="1">
        <v>5.0599999999999999E-2</v>
      </c>
      <c r="O196">
        <v>3.85</v>
      </c>
      <c r="P196" t="s">
        <v>77</v>
      </c>
      <c r="Q196" s="1">
        <v>0.125</v>
      </c>
    </row>
    <row r="197" spans="1:17">
      <c r="A197" t="s">
        <v>19</v>
      </c>
      <c r="B197" t="s">
        <v>53</v>
      </c>
      <c r="C197" t="s">
        <v>278</v>
      </c>
      <c r="D197" t="s">
        <v>75</v>
      </c>
      <c r="E197" t="s">
        <v>54</v>
      </c>
      <c r="F197" t="s">
        <v>55</v>
      </c>
      <c r="G197" t="s">
        <v>130</v>
      </c>
      <c r="H197">
        <v>0</v>
      </c>
      <c r="I197" t="s">
        <v>21</v>
      </c>
      <c r="J197">
        <v>0</v>
      </c>
      <c r="K197">
        <v>0</v>
      </c>
      <c r="L197">
        <v>0</v>
      </c>
      <c r="M197">
        <v>0</v>
      </c>
      <c r="N197" t="s">
        <v>77</v>
      </c>
      <c r="O197">
        <v>0</v>
      </c>
      <c r="P197" t="s">
        <v>77</v>
      </c>
      <c r="Q197" s="1">
        <v>0</v>
      </c>
    </row>
    <row r="198" spans="1:17">
      <c r="A198" t="s">
        <v>19</v>
      </c>
      <c r="B198" t="s">
        <v>53</v>
      </c>
      <c r="C198" t="s">
        <v>279</v>
      </c>
      <c r="D198" t="s">
        <v>75</v>
      </c>
      <c r="E198" t="s">
        <v>54</v>
      </c>
      <c r="F198" t="s">
        <v>55</v>
      </c>
      <c r="G198" t="s">
        <v>130</v>
      </c>
      <c r="H198">
        <v>0</v>
      </c>
      <c r="I198" t="s">
        <v>21</v>
      </c>
      <c r="J198">
        <v>0</v>
      </c>
      <c r="K198">
        <v>0</v>
      </c>
      <c r="L198">
        <v>0</v>
      </c>
      <c r="M198">
        <v>0</v>
      </c>
      <c r="N198" t="s">
        <v>77</v>
      </c>
      <c r="O198">
        <v>0</v>
      </c>
      <c r="P198" t="s">
        <v>77</v>
      </c>
      <c r="Q198" s="1">
        <v>0</v>
      </c>
    </row>
    <row r="199" spans="1:17">
      <c r="A199" t="s">
        <v>19</v>
      </c>
      <c r="B199" t="s">
        <v>53</v>
      </c>
      <c r="C199" t="s">
        <v>280</v>
      </c>
      <c r="D199" t="s">
        <v>75</v>
      </c>
      <c r="E199" t="s">
        <v>54</v>
      </c>
      <c r="F199" t="s">
        <v>55</v>
      </c>
      <c r="G199" t="s">
        <v>130</v>
      </c>
      <c r="H199">
        <v>0</v>
      </c>
      <c r="I199" t="s">
        <v>21</v>
      </c>
      <c r="J199">
        <v>0</v>
      </c>
      <c r="K199">
        <v>0</v>
      </c>
      <c r="L199">
        <v>0</v>
      </c>
      <c r="M199">
        <v>0</v>
      </c>
      <c r="N199" t="s">
        <v>77</v>
      </c>
      <c r="O199">
        <v>0</v>
      </c>
      <c r="P199" t="s">
        <v>77</v>
      </c>
      <c r="Q199" s="1">
        <v>0</v>
      </c>
    </row>
    <row r="200" spans="1:17">
      <c r="A200" t="s">
        <v>19</v>
      </c>
      <c r="B200" t="s">
        <v>53</v>
      </c>
      <c r="C200" t="s">
        <v>281</v>
      </c>
      <c r="D200" t="s">
        <v>75</v>
      </c>
      <c r="E200" t="s">
        <v>54</v>
      </c>
      <c r="F200" t="s">
        <v>55</v>
      </c>
      <c r="G200" t="s">
        <v>130</v>
      </c>
      <c r="H200">
        <v>0</v>
      </c>
      <c r="I200" t="s">
        <v>21</v>
      </c>
      <c r="J200">
        <v>0</v>
      </c>
      <c r="K200">
        <v>0</v>
      </c>
      <c r="L200">
        <v>0</v>
      </c>
      <c r="M200">
        <v>0</v>
      </c>
      <c r="N200" t="s">
        <v>77</v>
      </c>
      <c r="O200">
        <v>0</v>
      </c>
      <c r="P200" t="s">
        <v>77</v>
      </c>
      <c r="Q200" s="1">
        <v>0</v>
      </c>
    </row>
    <row r="201" spans="1:17">
      <c r="A201" t="s">
        <v>19</v>
      </c>
      <c r="B201" t="s">
        <v>53</v>
      </c>
      <c r="C201" t="s">
        <v>282</v>
      </c>
      <c r="D201" t="s">
        <v>75</v>
      </c>
      <c r="E201" t="s">
        <v>54</v>
      </c>
      <c r="F201" t="s">
        <v>55</v>
      </c>
      <c r="G201" t="s">
        <v>130</v>
      </c>
      <c r="H201">
        <v>0</v>
      </c>
      <c r="I201" t="s">
        <v>21</v>
      </c>
      <c r="J201">
        <v>0</v>
      </c>
      <c r="K201">
        <v>0</v>
      </c>
      <c r="L201">
        <v>0</v>
      </c>
      <c r="M201">
        <v>0</v>
      </c>
      <c r="N201" t="s">
        <v>77</v>
      </c>
      <c r="O201">
        <v>0</v>
      </c>
      <c r="P201" t="s">
        <v>77</v>
      </c>
      <c r="Q201" s="1">
        <v>0</v>
      </c>
    </row>
    <row r="202" spans="1:17">
      <c r="A202" t="s">
        <v>19</v>
      </c>
      <c r="B202" t="s">
        <v>53</v>
      </c>
      <c r="C202" t="s">
        <v>283</v>
      </c>
      <c r="D202" t="s">
        <v>75</v>
      </c>
      <c r="E202" t="s">
        <v>54</v>
      </c>
      <c r="F202" t="s">
        <v>55</v>
      </c>
      <c r="G202" t="s">
        <v>130</v>
      </c>
      <c r="H202">
        <v>2</v>
      </c>
      <c r="I202" t="s">
        <v>21</v>
      </c>
      <c r="J202">
        <v>60.43</v>
      </c>
      <c r="K202">
        <v>31</v>
      </c>
      <c r="L202">
        <v>120.85</v>
      </c>
      <c r="M202">
        <v>821</v>
      </c>
      <c r="N202" s="1">
        <v>3.78E-2</v>
      </c>
      <c r="O202">
        <v>3.9</v>
      </c>
      <c r="P202" t="s">
        <v>77</v>
      </c>
      <c r="Q202" s="1">
        <v>6.4500000000000002E-2</v>
      </c>
    </row>
    <row r="203" spans="1:17">
      <c r="A203" t="s">
        <v>19</v>
      </c>
      <c r="B203" t="s">
        <v>53</v>
      </c>
      <c r="C203" t="s">
        <v>284</v>
      </c>
      <c r="D203" t="s">
        <v>75</v>
      </c>
      <c r="E203" t="s">
        <v>54</v>
      </c>
      <c r="F203" t="s">
        <v>55</v>
      </c>
      <c r="G203" t="s">
        <v>130</v>
      </c>
      <c r="H203">
        <v>0</v>
      </c>
      <c r="I203" t="s">
        <v>21</v>
      </c>
      <c r="J203">
        <v>0</v>
      </c>
      <c r="K203">
        <v>0</v>
      </c>
      <c r="L203">
        <v>0</v>
      </c>
      <c r="M203">
        <v>0</v>
      </c>
      <c r="N203" t="s">
        <v>77</v>
      </c>
      <c r="O203">
        <v>0</v>
      </c>
      <c r="P203" t="s">
        <v>77</v>
      </c>
      <c r="Q203" s="1">
        <v>0</v>
      </c>
    </row>
    <row r="204" spans="1:17">
      <c r="A204" t="s">
        <v>19</v>
      </c>
      <c r="B204" t="s">
        <v>53</v>
      </c>
      <c r="C204" t="s">
        <v>285</v>
      </c>
      <c r="D204" t="s">
        <v>75</v>
      </c>
      <c r="E204" t="s">
        <v>54</v>
      </c>
      <c r="F204" t="s">
        <v>55</v>
      </c>
      <c r="G204" t="s">
        <v>130</v>
      </c>
      <c r="H204">
        <v>0</v>
      </c>
      <c r="I204" t="s">
        <v>21</v>
      </c>
      <c r="J204">
        <v>0</v>
      </c>
      <c r="K204">
        <v>0</v>
      </c>
      <c r="L204">
        <v>0</v>
      </c>
      <c r="M204">
        <v>0</v>
      </c>
      <c r="N204" t="s">
        <v>77</v>
      </c>
      <c r="O204">
        <v>0</v>
      </c>
      <c r="P204" t="s">
        <v>77</v>
      </c>
      <c r="Q204" s="1">
        <v>0</v>
      </c>
    </row>
    <row r="205" spans="1:17">
      <c r="A205" t="s">
        <v>19</v>
      </c>
      <c r="B205" t="s">
        <v>53</v>
      </c>
      <c r="C205" t="s">
        <v>286</v>
      </c>
      <c r="D205" t="s">
        <v>75</v>
      </c>
      <c r="E205" t="s">
        <v>54</v>
      </c>
      <c r="F205" t="s">
        <v>55</v>
      </c>
      <c r="G205" t="s">
        <v>130</v>
      </c>
      <c r="H205">
        <v>0</v>
      </c>
      <c r="I205" t="s">
        <v>21</v>
      </c>
      <c r="J205">
        <v>0</v>
      </c>
      <c r="K205">
        <v>0</v>
      </c>
      <c r="L205">
        <v>0</v>
      </c>
      <c r="M205">
        <v>0</v>
      </c>
      <c r="N205" t="s">
        <v>77</v>
      </c>
      <c r="O205">
        <v>0</v>
      </c>
      <c r="P205" t="s">
        <v>77</v>
      </c>
      <c r="Q205" s="1">
        <v>0</v>
      </c>
    </row>
    <row r="206" spans="1:17">
      <c r="A206" t="s">
        <v>19</v>
      </c>
      <c r="B206" t="s">
        <v>53</v>
      </c>
      <c r="C206" t="s">
        <v>287</v>
      </c>
      <c r="D206" t="s">
        <v>75</v>
      </c>
      <c r="E206" t="s">
        <v>54</v>
      </c>
      <c r="F206" t="s">
        <v>55</v>
      </c>
      <c r="G206" t="s">
        <v>130</v>
      </c>
      <c r="H206">
        <v>0</v>
      </c>
      <c r="I206" t="s">
        <v>21</v>
      </c>
      <c r="J206">
        <v>0</v>
      </c>
      <c r="K206">
        <v>0</v>
      </c>
      <c r="L206">
        <v>0</v>
      </c>
      <c r="M206">
        <v>0</v>
      </c>
      <c r="N206" t="s">
        <v>77</v>
      </c>
      <c r="O206">
        <v>0</v>
      </c>
      <c r="P206" t="s">
        <v>77</v>
      </c>
      <c r="Q206" s="1">
        <v>0</v>
      </c>
    </row>
    <row r="207" spans="1:17">
      <c r="A207" t="s">
        <v>19</v>
      </c>
      <c r="B207" t="s">
        <v>53</v>
      </c>
      <c r="C207" t="s">
        <v>288</v>
      </c>
      <c r="D207" t="s">
        <v>82</v>
      </c>
      <c r="E207" t="s">
        <v>54</v>
      </c>
      <c r="F207" t="s">
        <v>55</v>
      </c>
      <c r="G207" t="s">
        <v>130</v>
      </c>
      <c r="H207">
        <v>0</v>
      </c>
      <c r="I207" t="s">
        <v>21</v>
      </c>
      <c r="J207">
        <v>0</v>
      </c>
      <c r="K207">
        <v>0</v>
      </c>
      <c r="L207">
        <v>0</v>
      </c>
      <c r="M207">
        <v>1</v>
      </c>
      <c r="N207" s="1">
        <v>0</v>
      </c>
      <c r="O207">
        <v>0</v>
      </c>
      <c r="P207">
        <v>3</v>
      </c>
      <c r="Q207" s="1">
        <v>0</v>
      </c>
    </row>
    <row r="208" spans="1:17">
      <c r="A208" t="s">
        <v>19</v>
      </c>
      <c r="B208" t="s">
        <v>53</v>
      </c>
      <c r="C208" t="s">
        <v>289</v>
      </c>
      <c r="D208" t="s">
        <v>75</v>
      </c>
      <c r="E208" t="s">
        <v>54</v>
      </c>
      <c r="F208" t="s">
        <v>55</v>
      </c>
      <c r="G208" t="s">
        <v>130</v>
      </c>
      <c r="H208">
        <v>0</v>
      </c>
      <c r="I208" t="s">
        <v>21</v>
      </c>
      <c r="J208">
        <v>0</v>
      </c>
      <c r="K208">
        <v>0</v>
      </c>
      <c r="L208">
        <v>0</v>
      </c>
      <c r="M208">
        <v>41</v>
      </c>
      <c r="N208" s="1">
        <v>0</v>
      </c>
      <c r="O208">
        <v>0</v>
      </c>
      <c r="P208" t="s">
        <v>77</v>
      </c>
      <c r="Q208" s="1">
        <v>0</v>
      </c>
    </row>
    <row r="209" spans="1:17">
      <c r="A209" t="s">
        <v>19</v>
      </c>
      <c r="B209" t="s">
        <v>53</v>
      </c>
      <c r="C209" t="s">
        <v>290</v>
      </c>
      <c r="D209" t="s">
        <v>82</v>
      </c>
      <c r="E209" t="s">
        <v>54</v>
      </c>
      <c r="F209" t="s">
        <v>55</v>
      </c>
      <c r="G209" t="s">
        <v>130</v>
      </c>
      <c r="H209">
        <v>0</v>
      </c>
      <c r="I209" t="s">
        <v>21</v>
      </c>
      <c r="J209">
        <v>0</v>
      </c>
      <c r="K209">
        <v>0</v>
      </c>
      <c r="L209">
        <v>0</v>
      </c>
      <c r="M209">
        <v>3</v>
      </c>
      <c r="N209" s="1">
        <v>0</v>
      </c>
      <c r="O209">
        <v>0</v>
      </c>
      <c r="P209" t="s">
        <v>77</v>
      </c>
      <c r="Q209" s="1">
        <v>0</v>
      </c>
    </row>
    <row r="210" spans="1:17">
      <c r="A210" t="s">
        <v>19</v>
      </c>
      <c r="B210" t="s">
        <v>53</v>
      </c>
      <c r="C210" t="s">
        <v>291</v>
      </c>
      <c r="D210" t="s">
        <v>75</v>
      </c>
      <c r="E210" t="s">
        <v>54</v>
      </c>
      <c r="F210" t="s">
        <v>55</v>
      </c>
      <c r="G210" t="s">
        <v>130</v>
      </c>
      <c r="H210">
        <v>0</v>
      </c>
      <c r="I210" t="s">
        <v>21</v>
      </c>
      <c r="J210">
        <v>0</v>
      </c>
      <c r="K210">
        <v>0</v>
      </c>
      <c r="L210">
        <v>0</v>
      </c>
      <c r="M210">
        <v>0</v>
      </c>
      <c r="N210" t="s">
        <v>77</v>
      </c>
      <c r="O210">
        <v>0</v>
      </c>
      <c r="P210" t="s">
        <v>77</v>
      </c>
      <c r="Q210" s="1">
        <v>0</v>
      </c>
    </row>
    <row r="211" spans="1:17">
      <c r="A211" t="s">
        <v>19</v>
      </c>
      <c r="B211" t="s">
        <v>53</v>
      </c>
      <c r="C211" t="s">
        <v>292</v>
      </c>
      <c r="D211" t="s">
        <v>75</v>
      </c>
      <c r="E211" t="s">
        <v>54</v>
      </c>
      <c r="F211" t="s">
        <v>55</v>
      </c>
      <c r="G211" t="s">
        <v>130</v>
      </c>
      <c r="H211">
        <v>0</v>
      </c>
      <c r="I211" t="s">
        <v>21</v>
      </c>
      <c r="J211">
        <v>0</v>
      </c>
      <c r="K211">
        <v>0</v>
      </c>
      <c r="L211">
        <v>0</v>
      </c>
      <c r="M211">
        <v>0</v>
      </c>
      <c r="N211" t="s">
        <v>77</v>
      </c>
      <c r="O211">
        <v>0</v>
      </c>
      <c r="P211" t="s">
        <v>77</v>
      </c>
      <c r="Q211" s="1">
        <v>0</v>
      </c>
    </row>
    <row r="212" spans="1:17">
      <c r="A212" t="s">
        <v>19</v>
      </c>
      <c r="B212" t="s">
        <v>53</v>
      </c>
      <c r="C212" t="s">
        <v>293</v>
      </c>
      <c r="D212" t="s">
        <v>75</v>
      </c>
      <c r="E212" t="s">
        <v>54</v>
      </c>
      <c r="F212" t="s">
        <v>55</v>
      </c>
      <c r="G212" t="s">
        <v>130</v>
      </c>
      <c r="H212">
        <v>0</v>
      </c>
      <c r="I212" t="s">
        <v>21</v>
      </c>
      <c r="J212">
        <v>0</v>
      </c>
      <c r="K212">
        <v>0</v>
      </c>
      <c r="L212">
        <v>0</v>
      </c>
      <c r="M212">
        <v>1</v>
      </c>
      <c r="N212" s="1">
        <v>0</v>
      </c>
      <c r="O212">
        <v>0</v>
      </c>
      <c r="P212" t="s">
        <v>77</v>
      </c>
      <c r="Q212" s="1">
        <v>0</v>
      </c>
    </row>
    <row r="213" spans="1:17">
      <c r="A213" t="s">
        <v>19</v>
      </c>
      <c r="B213" t="s">
        <v>53</v>
      </c>
      <c r="C213" t="s">
        <v>294</v>
      </c>
      <c r="D213" t="s">
        <v>75</v>
      </c>
      <c r="E213" t="s">
        <v>54</v>
      </c>
      <c r="F213" t="s">
        <v>55</v>
      </c>
      <c r="G213" t="s">
        <v>130</v>
      </c>
      <c r="H213">
        <v>1</v>
      </c>
      <c r="I213" t="s">
        <v>21</v>
      </c>
      <c r="J213">
        <v>4.9400000000000004</v>
      </c>
      <c r="K213">
        <v>2</v>
      </c>
      <c r="L213">
        <v>4.9400000000000004</v>
      </c>
      <c r="M213">
        <v>40</v>
      </c>
      <c r="N213" s="1">
        <v>0.05</v>
      </c>
      <c r="O213">
        <v>2.4700000000000002</v>
      </c>
      <c r="P213" t="s">
        <v>77</v>
      </c>
      <c r="Q213" s="1">
        <v>0.5</v>
      </c>
    </row>
    <row r="214" spans="1:17">
      <c r="A214" t="s">
        <v>19</v>
      </c>
      <c r="B214" t="s">
        <v>53</v>
      </c>
      <c r="C214" t="s">
        <v>295</v>
      </c>
      <c r="D214" t="s">
        <v>75</v>
      </c>
      <c r="E214" t="s">
        <v>54</v>
      </c>
      <c r="F214" t="s">
        <v>55</v>
      </c>
      <c r="G214" t="s">
        <v>130</v>
      </c>
      <c r="H214">
        <v>0</v>
      </c>
      <c r="I214" t="s">
        <v>21</v>
      </c>
      <c r="J214">
        <v>0</v>
      </c>
      <c r="K214">
        <v>0</v>
      </c>
      <c r="L214">
        <v>0</v>
      </c>
      <c r="M214">
        <v>0</v>
      </c>
      <c r="N214" t="s">
        <v>77</v>
      </c>
      <c r="O214">
        <v>0</v>
      </c>
      <c r="P214" t="s">
        <v>77</v>
      </c>
      <c r="Q214" s="1">
        <v>0</v>
      </c>
    </row>
    <row r="215" spans="1:17">
      <c r="A215" t="s">
        <v>19</v>
      </c>
      <c r="B215" t="s">
        <v>53</v>
      </c>
      <c r="C215" t="s">
        <v>296</v>
      </c>
      <c r="D215" t="s">
        <v>75</v>
      </c>
      <c r="E215" t="s">
        <v>54</v>
      </c>
      <c r="F215" t="s">
        <v>55</v>
      </c>
      <c r="G215" t="s">
        <v>130</v>
      </c>
      <c r="H215">
        <v>0</v>
      </c>
      <c r="I215" t="s">
        <v>21</v>
      </c>
      <c r="J215">
        <v>0</v>
      </c>
      <c r="K215">
        <v>0</v>
      </c>
      <c r="L215">
        <v>0</v>
      </c>
      <c r="M215">
        <v>0</v>
      </c>
      <c r="N215" t="s">
        <v>77</v>
      </c>
      <c r="O215">
        <v>0</v>
      </c>
      <c r="P215" t="s">
        <v>77</v>
      </c>
      <c r="Q215" s="1">
        <v>0</v>
      </c>
    </row>
    <row r="216" spans="1:17">
      <c r="A216" t="s">
        <v>19</v>
      </c>
      <c r="B216" t="s">
        <v>53</v>
      </c>
      <c r="C216" t="s">
        <v>297</v>
      </c>
      <c r="D216" t="s">
        <v>79</v>
      </c>
      <c r="E216" t="s">
        <v>54</v>
      </c>
      <c r="F216" t="s">
        <v>55</v>
      </c>
      <c r="G216" t="s">
        <v>130</v>
      </c>
      <c r="H216">
        <v>0</v>
      </c>
      <c r="I216" t="s">
        <v>21</v>
      </c>
      <c r="J216">
        <v>0</v>
      </c>
      <c r="K216">
        <v>0</v>
      </c>
      <c r="L216">
        <v>0</v>
      </c>
      <c r="M216">
        <v>5</v>
      </c>
      <c r="N216" s="1">
        <v>0</v>
      </c>
      <c r="O216">
        <v>0</v>
      </c>
      <c r="P216">
        <v>3</v>
      </c>
      <c r="Q216" s="1">
        <v>0</v>
      </c>
    </row>
    <row r="217" spans="1:17">
      <c r="A217" t="s">
        <v>19</v>
      </c>
      <c r="B217" t="s">
        <v>53</v>
      </c>
      <c r="C217" t="s">
        <v>298</v>
      </c>
      <c r="D217" t="s">
        <v>75</v>
      </c>
      <c r="E217" t="s">
        <v>54</v>
      </c>
      <c r="F217" t="s">
        <v>55</v>
      </c>
      <c r="G217" t="s">
        <v>130</v>
      </c>
      <c r="H217">
        <v>0</v>
      </c>
      <c r="I217" t="s">
        <v>21</v>
      </c>
      <c r="J217">
        <v>0</v>
      </c>
      <c r="K217">
        <v>0</v>
      </c>
      <c r="L217">
        <v>0</v>
      </c>
      <c r="M217">
        <v>0</v>
      </c>
      <c r="N217" t="s">
        <v>77</v>
      </c>
      <c r="O217">
        <v>0</v>
      </c>
      <c r="P217" t="s">
        <v>77</v>
      </c>
      <c r="Q217" s="1">
        <v>0</v>
      </c>
    </row>
    <row r="218" spans="1:17">
      <c r="A218" t="s">
        <v>19</v>
      </c>
      <c r="B218" t="s">
        <v>53</v>
      </c>
      <c r="C218" t="s">
        <v>299</v>
      </c>
      <c r="D218" t="s">
        <v>75</v>
      </c>
      <c r="E218" t="s">
        <v>54</v>
      </c>
      <c r="F218" t="s">
        <v>55</v>
      </c>
      <c r="G218" t="s">
        <v>130</v>
      </c>
      <c r="H218">
        <v>0</v>
      </c>
      <c r="I218" t="s">
        <v>21</v>
      </c>
      <c r="J218">
        <v>0</v>
      </c>
      <c r="K218">
        <v>0</v>
      </c>
      <c r="L218">
        <v>0</v>
      </c>
      <c r="M218">
        <v>0</v>
      </c>
      <c r="N218" t="s">
        <v>77</v>
      </c>
      <c r="O218">
        <v>0</v>
      </c>
      <c r="P218" t="s">
        <v>77</v>
      </c>
      <c r="Q218" s="1">
        <v>0</v>
      </c>
    </row>
    <row r="219" spans="1:17">
      <c r="A219" t="s">
        <v>19</v>
      </c>
      <c r="B219" t="s">
        <v>53</v>
      </c>
      <c r="C219" t="s">
        <v>300</v>
      </c>
      <c r="D219" t="s">
        <v>75</v>
      </c>
      <c r="E219" t="s">
        <v>54</v>
      </c>
      <c r="F219" t="s">
        <v>55</v>
      </c>
      <c r="G219" t="s">
        <v>130</v>
      </c>
      <c r="H219">
        <v>0</v>
      </c>
      <c r="I219" t="s">
        <v>21</v>
      </c>
      <c r="J219">
        <v>0</v>
      </c>
      <c r="K219">
        <v>0</v>
      </c>
      <c r="L219">
        <v>0</v>
      </c>
      <c r="M219">
        <v>0</v>
      </c>
      <c r="N219" t="s">
        <v>77</v>
      </c>
      <c r="O219">
        <v>0</v>
      </c>
      <c r="P219" t="s">
        <v>77</v>
      </c>
      <c r="Q219" s="1">
        <v>0</v>
      </c>
    </row>
    <row r="220" spans="1:17">
      <c r="A220" t="s">
        <v>19</v>
      </c>
      <c r="B220" t="s">
        <v>53</v>
      </c>
      <c r="C220" t="s">
        <v>301</v>
      </c>
      <c r="D220" t="s">
        <v>75</v>
      </c>
      <c r="E220" t="s">
        <v>54</v>
      </c>
      <c r="F220" t="s">
        <v>55</v>
      </c>
      <c r="G220" t="s">
        <v>130</v>
      </c>
      <c r="H220">
        <v>0</v>
      </c>
      <c r="I220" t="s">
        <v>21</v>
      </c>
      <c r="J220">
        <v>0</v>
      </c>
      <c r="K220">
        <v>1</v>
      </c>
      <c r="L220">
        <v>7.45</v>
      </c>
      <c r="M220">
        <v>35</v>
      </c>
      <c r="N220" s="1">
        <v>2.86E-2</v>
      </c>
      <c r="O220">
        <v>7.45</v>
      </c>
      <c r="P220" t="s">
        <v>77</v>
      </c>
      <c r="Q220" s="1">
        <v>0</v>
      </c>
    </row>
    <row r="221" spans="1:17">
      <c r="A221" t="s">
        <v>19</v>
      </c>
      <c r="B221" t="s">
        <v>53</v>
      </c>
      <c r="C221" t="s">
        <v>302</v>
      </c>
      <c r="D221" t="s">
        <v>75</v>
      </c>
      <c r="E221" t="s">
        <v>54</v>
      </c>
      <c r="F221" t="s">
        <v>55</v>
      </c>
      <c r="G221" t="s">
        <v>130</v>
      </c>
      <c r="H221">
        <v>0</v>
      </c>
      <c r="I221" t="s">
        <v>21</v>
      </c>
      <c r="J221">
        <v>0</v>
      </c>
      <c r="K221">
        <v>1</v>
      </c>
      <c r="L221">
        <v>4.9800000000000004</v>
      </c>
      <c r="M221">
        <v>4</v>
      </c>
      <c r="N221" s="1">
        <v>0.25</v>
      </c>
      <c r="O221">
        <v>4.9800000000000004</v>
      </c>
      <c r="P221" t="s">
        <v>77</v>
      </c>
      <c r="Q221" s="1">
        <v>0</v>
      </c>
    </row>
    <row r="222" spans="1:17">
      <c r="A222" t="s">
        <v>19</v>
      </c>
      <c r="B222" t="s">
        <v>53</v>
      </c>
      <c r="C222" t="s">
        <v>303</v>
      </c>
      <c r="D222" t="s">
        <v>75</v>
      </c>
      <c r="E222" t="s">
        <v>54</v>
      </c>
      <c r="F222" t="s">
        <v>55</v>
      </c>
      <c r="G222" t="s">
        <v>130</v>
      </c>
      <c r="H222">
        <v>3</v>
      </c>
      <c r="I222" t="s">
        <v>21</v>
      </c>
      <c r="J222">
        <v>37.17</v>
      </c>
      <c r="K222">
        <v>27</v>
      </c>
      <c r="L222">
        <v>111.52</v>
      </c>
      <c r="M222">
        <v>683</v>
      </c>
      <c r="N222" s="1">
        <v>3.95E-2</v>
      </c>
      <c r="O222">
        <v>4.13</v>
      </c>
      <c r="P222" t="s">
        <v>77</v>
      </c>
      <c r="Q222" s="1">
        <v>0.1111</v>
      </c>
    </row>
    <row r="223" spans="1:17">
      <c r="A223" t="s">
        <v>19</v>
      </c>
      <c r="B223" t="s">
        <v>53</v>
      </c>
      <c r="C223" t="s">
        <v>304</v>
      </c>
      <c r="D223" t="s">
        <v>75</v>
      </c>
      <c r="E223" t="s">
        <v>54</v>
      </c>
      <c r="F223" t="s">
        <v>55</v>
      </c>
      <c r="G223" t="s">
        <v>130</v>
      </c>
      <c r="H223">
        <v>0</v>
      </c>
      <c r="I223" t="s">
        <v>21</v>
      </c>
      <c r="J223">
        <v>0</v>
      </c>
      <c r="K223">
        <v>1</v>
      </c>
      <c r="L223">
        <v>6.08</v>
      </c>
      <c r="M223">
        <v>59</v>
      </c>
      <c r="N223" s="1">
        <v>1.6899999999999998E-2</v>
      </c>
      <c r="O223">
        <v>6.08</v>
      </c>
      <c r="P223" t="s">
        <v>77</v>
      </c>
      <c r="Q223" s="1">
        <v>0</v>
      </c>
    </row>
    <row r="224" spans="1:17">
      <c r="A224" t="s">
        <v>19</v>
      </c>
      <c r="B224" t="s">
        <v>53</v>
      </c>
      <c r="C224" t="s">
        <v>305</v>
      </c>
      <c r="D224" t="s">
        <v>82</v>
      </c>
      <c r="E224" t="s">
        <v>54</v>
      </c>
      <c r="F224" t="s">
        <v>55</v>
      </c>
      <c r="G224" t="s">
        <v>130</v>
      </c>
      <c r="H224">
        <v>0</v>
      </c>
      <c r="I224" t="s">
        <v>21</v>
      </c>
      <c r="J224">
        <v>0</v>
      </c>
      <c r="K224">
        <v>0</v>
      </c>
      <c r="L224">
        <v>0</v>
      </c>
      <c r="M224">
        <v>3</v>
      </c>
      <c r="N224" s="1">
        <v>0</v>
      </c>
      <c r="O224">
        <v>0</v>
      </c>
      <c r="P224" t="s">
        <v>77</v>
      </c>
      <c r="Q224" s="1">
        <v>0</v>
      </c>
    </row>
    <row r="225" spans="1:17">
      <c r="A225" t="s">
        <v>19</v>
      </c>
      <c r="B225" t="s">
        <v>53</v>
      </c>
      <c r="C225" t="s">
        <v>306</v>
      </c>
      <c r="D225" t="s">
        <v>75</v>
      </c>
      <c r="E225" t="s">
        <v>54</v>
      </c>
      <c r="F225" t="s">
        <v>55</v>
      </c>
      <c r="G225" t="s">
        <v>130</v>
      </c>
      <c r="H225">
        <v>0</v>
      </c>
      <c r="I225" t="s">
        <v>21</v>
      </c>
      <c r="J225">
        <v>0</v>
      </c>
      <c r="K225">
        <v>1</v>
      </c>
      <c r="L225">
        <v>3.55</v>
      </c>
      <c r="M225">
        <v>35</v>
      </c>
      <c r="N225" s="1">
        <v>2.86E-2</v>
      </c>
      <c r="O225">
        <v>3.55</v>
      </c>
      <c r="P225" t="s">
        <v>77</v>
      </c>
      <c r="Q225" s="1">
        <v>0</v>
      </c>
    </row>
    <row r="226" spans="1:17">
      <c r="A226" t="s">
        <v>19</v>
      </c>
      <c r="B226" t="s">
        <v>53</v>
      </c>
      <c r="C226" t="s">
        <v>307</v>
      </c>
      <c r="D226" t="s">
        <v>75</v>
      </c>
      <c r="E226" t="s">
        <v>54</v>
      </c>
      <c r="F226" t="s">
        <v>55</v>
      </c>
      <c r="G226" t="s">
        <v>130</v>
      </c>
      <c r="H226">
        <v>0</v>
      </c>
      <c r="I226" t="s">
        <v>21</v>
      </c>
      <c r="J226">
        <v>0</v>
      </c>
      <c r="K226">
        <v>0</v>
      </c>
      <c r="L226">
        <v>0</v>
      </c>
      <c r="M226">
        <v>0</v>
      </c>
      <c r="N226" t="s">
        <v>77</v>
      </c>
      <c r="O226">
        <v>0</v>
      </c>
      <c r="P226" t="s">
        <v>77</v>
      </c>
      <c r="Q226" s="1">
        <v>0</v>
      </c>
    </row>
    <row r="227" spans="1:17">
      <c r="A227" t="s">
        <v>19</v>
      </c>
      <c r="B227" t="s">
        <v>53</v>
      </c>
      <c r="C227" t="s">
        <v>308</v>
      </c>
      <c r="D227" t="s">
        <v>75</v>
      </c>
      <c r="E227" t="s">
        <v>54</v>
      </c>
      <c r="F227" t="s">
        <v>55</v>
      </c>
      <c r="G227" t="s">
        <v>130</v>
      </c>
      <c r="H227">
        <v>0</v>
      </c>
      <c r="I227" t="s">
        <v>21</v>
      </c>
      <c r="J227">
        <v>0</v>
      </c>
      <c r="K227">
        <v>0</v>
      </c>
      <c r="L227">
        <v>0</v>
      </c>
      <c r="M227">
        <v>0</v>
      </c>
      <c r="N227" t="s">
        <v>77</v>
      </c>
      <c r="O227">
        <v>0</v>
      </c>
      <c r="P227" t="s">
        <v>77</v>
      </c>
      <c r="Q227" s="1">
        <v>0</v>
      </c>
    </row>
    <row r="228" spans="1:17">
      <c r="A228" t="s">
        <v>19</v>
      </c>
      <c r="B228" t="s">
        <v>53</v>
      </c>
      <c r="C228" t="s">
        <v>309</v>
      </c>
      <c r="D228" t="s">
        <v>75</v>
      </c>
      <c r="E228" t="s">
        <v>54</v>
      </c>
      <c r="F228" t="s">
        <v>55</v>
      </c>
      <c r="G228" t="s">
        <v>130</v>
      </c>
      <c r="H228">
        <v>0</v>
      </c>
      <c r="I228" t="s">
        <v>21</v>
      </c>
      <c r="J228">
        <v>0</v>
      </c>
      <c r="K228">
        <v>0</v>
      </c>
      <c r="L228">
        <v>0</v>
      </c>
      <c r="M228">
        <v>0</v>
      </c>
      <c r="N228" t="s">
        <v>77</v>
      </c>
      <c r="O228">
        <v>0</v>
      </c>
      <c r="P228" t="s">
        <v>77</v>
      </c>
      <c r="Q228" s="1">
        <v>0</v>
      </c>
    </row>
    <row r="229" spans="1:17">
      <c r="A229" t="s">
        <v>19</v>
      </c>
      <c r="B229" t="s">
        <v>53</v>
      </c>
      <c r="C229" t="s">
        <v>310</v>
      </c>
      <c r="D229" t="s">
        <v>75</v>
      </c>
      <c r="E229" t="s">
        <v>54</v>
      </c>
      <c r="F229" t="s">
        <v>55</v>
      </c>
      <c r="G229" t="s">
        <v>130</v>
      </c>
      <c r="H229">
        <v>1</v>
      </c>
      <c r="I229" t="s">
        <v>21</v>
      </c>
      <c r="J229">
        <v>34.89</v>
      </c>
      <c r="K229">
        <v>9</v>
      </c>
      <c r="L229">
        <v>34.89</v>
      </c>
      <c r="M229">
        <v>263</v>
      </c>
      <c r="N229" s="1">
        <v>3.4200000000000001E-2</v>
      </c>
      <c r="O229">
        <v>3.88</v>
      </c>
      <c r="P229" t="s">
        <v>77</v>
      </c>
      <c r="Q229" s="1">
        <v>0.1111</v>
      </c>
    </row>
    <row r="230" spans="1:17">
      <c r="A230" t="s">
        <v>19</v>
      </c>
      <c r="B230" t="s">
        <v>53</v>
      </c>
      <c r="C230" t="s">
        <v>311</v>
      </c>
      <c r="D230" t="s">
        <v>75</v>
      </c>
      <c r="E230" t="s">
        <v>54</v>
      </c>
      <c r="F230" t="s">
        <v>55</v>
      </c>
      <c r="G230" t="s">
        <v>130</v>
      </c>
      <c r="H230">
        <v>0</v>
      </c>
      <c r="I230" t="s">
        <v>21</v>
      </c>
      <c r="J230">
        <v>0</v>
      </c>
      <c r="K230">
        <v>0</v>
      </c>
      <c r="L230">
        <v>0</v>
      </c>
      <c r="M230">
        <v>0</v>
      </c>
      <c r="N230" t="s">
        <v>77</v>
      </c>
      <c r="O230">
        <v>0</v>
      </c>
      <c r="P230" t="s">
        <v>77</v>
      </c>
      <c r="Q230" s="1">
        <v>0</v>
      </c>
    </row>
    <row r="231" spans="1:17">
      <c r="A231" t="s">
        <v>19</v>
      </c>
      <c r="B231" t="s">
        <v>53</v>
      </c>
      <c r="C231" t="s">
        <v>312</v>
      </c>
      <c r="D231" t="s">
        <v>75</v>
      </c>
      <c r="E231" t="s">
        <v>54</v>
      </c>
      <c r="F231" t="s">
        <v>55</v>
      </c>
      <c r="G231" t="s">
        <v>130</v>
      </c>
      <c r="H231">
        <v>0</v>
      </c>
      <c r="I231" t="s">
        <v>21</v>
      </c>
      <c r="J231">
        <v>0</v>
      </c>
      <c r="K231">
        <v>0</v>
      </c>
      <c r="L231">
        <v>0</v>
      </c>
      <c r="M231">
        <v>0</v>
      </c>
      <c r="N231" t="s">
        <v>77</v>
      </c>
      <c r="O231">
        <v>0</v>
      </c>
      <c r="P231" t="s">
        <v>77</v>
      </c>
      <c r="Q231" s="1">
        <v>0</v>
      </c>
    </row>
    <row r="232" spans="1:17">
      <c r="A232" t="s">
        <v>19</v>
      </c>
      <c r="B232" t="s">
        <v>53</v>
      </c>
      <c r="C232" t="s">
        <v>313</v>
      </c>
      <c r="D232" t="s">
        <v>75</v>
      </c>
      <c r="E232" t="s">
        <v>54</v>
      </c>
      <c r="F232" t="s">
        <v>55</v>
      </c>
      <c r="G232" t="s">
        <v>130</v>
      </c>
      <c r="H232">
        <v>0</v>
      </c>
      <c r="I232" t="s">
        <v>21</v>
      </c>
      <c r="J232">
        <v>0</v>
      </c>
      <c r="K232">
        <v>0</v>
      </c>
      <c r="L232">
        <v>0</v>
      </c>
      <c r="M232">
        <v>0</v>
      </c>
      <c r="N232" t="s">
        <v>77</v>
      </c>
      <c r="O232">
        <v>0</v>
      </c>
      <c r="P232" t="s">
        <v>77</v>
      </c>
      <c r="Q232" s="1">
        <v>0</v>
      </c>
    </row>
    <row r="233" spans="1:17">
      <c r="A233" t="s">
        <v>19</v>
      </c>
      <c r="B233" t="s">
        <v>53</v>
      </c>
      <c r="C233" t="s">
        <v>314</v>
      </c>
      <c r="D233" t="s">
        <v>75</v>
      </c>
      <c r="E233" t="s">
        <v>54</v>
      </c>
      <c r="F233" t="s">
        <v>55</v>
      </c>
      <c r="G233" t="s">
        <v>130</v>
      </c>
      <c r="H233">
        <v>0</v>
      </c>
      <c r="I233" t="s">
        <v>21</v>
      </c>
      <c r="J233">
        <v>0</v>
      </c>
      <c r="K233">
        <v>0</v>
      </c>
      <c r="L233">
        <v>0</v>
      </c>
      <c r="M233">
        <v>0</v>
      </c>
      <c r="N233" t="s">
        <v>77</v>
      </c>
      <c r="O233">
        <v>0</v>
      </c>
      <c r="P233" t="s">
        <v>77</v>
      </c>
      <c r="Q233" s="1">
        <v>0</v>
      </c>
    </row>
    <row r="234" spans="1:17">
      <c r="A234" t="s">
        <v>19</v>
      </c>
      <c r="B234" t="s">
        <v>53</v>
      </c>
      <c r="C234" t="s">
        <v>315</v>
      </c>
      <c r="D234" t="s">
        <v>75</v>
      </c>
      <c r="E234" t="s">
        <v>54</v>
      </c>
      <c r="F234" t="s">
        <v>55</v>
      </c>
      <c r="G234" t="s">
        <v>130</v>
      </c>
      <c r="H234">
        <v>0</v>
      </c>
      <c r="I234" t="s">
        <v>21</v>
      </c>
      <c r="J234">
        <v>0</v>
      </c>
      <c r="K234">
        <v>0</v>
      </c>
      <c r="L234">
        <v>0</v>
      </c>
      <c r="M234">
        <v>0</v>
      </c>
      <c r="N234" t="s">
        <v>77</v>
      </c>
      <c r="O234">
        <v>0</v>
      </c>
      <c r="P234" t="s">
        <v>77</v>
      </c>
      <c r="Q234" s="1">
        <v>0</v>
      </c>
    </row>
    <row r="235" spans="1:17">
      <c r="A235" t="s">
        <v>19</v>
      </c>
      <c r="B235" t="s">
        <v>53</v>
      </c>
      <c r="C235" t="s">
        <v>316</v>
      </c>
      <c r="D235" t="s">
        <v>75</v>
      </c>
      <c r="E235" t="s">
        <v>54</v>
      </c>
      <c r="F235" t="s">
        <v>55</v>
      </c>
      <c r="G235" t="s">
        <v>130</v>
      </c>
      <c r="H235">
        <v>0</v>
      </c>
      <c r="I235" t="s">
        <v>21</v>
      </c>
      <c r="J235">
        <v>0</v>
      </c>
      <c r="K235">
        <v>2</v>
      </c>
      <c r="L235">
        <v>9.06</v>
      </c>
      <c r="M235">
        <v>81</v>
      </c>
      <c r="N235" s="1">
        <v>2.47E-2</v>
      </c>
      <c r="O235">
        <v>4.53</v>
      </c>
      <c r="P235" t="s">
        <v>77</v>
      </c>
      <c r="Q235" s="1">
        <v>0</v>
      </c>
    </row>
    <row r="236" spans="1:17">
      <c r="A236" t="s">
        <v>19</v>
      </c>
      <c r="B236" t="s">
        <v>53</v>
      </c>
      <c r="C236" t="s">
        <v>317</v>
      </c>
      <c r="D236" t="s">
        <v>75</v>
      </c>
      <c r="E236" t="s">
        <v>54</v>
      </c>
      <c r="F236" t="s">
        <v>55</v>
      </c>
      <c r="G236" t="s">
        <v>130</v>
      </c>
      <c r="H236">
        <v>0</v>
      </c>
      <c r="I236" t="s">
        <v>21</v>
      </c>
      <c r="J236">
        <v>0</v>
      </c>
      <c r="K236">
        <v>0</v>
      </c>
      <c r="L236">
        <v>0</v>
      </c>
      <c r="M236">
        <v>0</v>
      </c>
      <c r="N236" t="s">
        <v>77</v>
      </c>
      <c r="O236">
        <v>0</v>
      </c>
      <c r="P236" t="s">
        <v>77</v>
      </c>
      <c r="Q236" s="1">
        <v>0</v>
      </c>
    </row>
    <row r="237" spans="1:17">
      <c r="A237" t="s">
        <v>19</v>
      </c>
      <c r="B237" t="s">
        <v>53</v>
      </c>
      <c r="C237" t="s">
        <v>318</v>
      </c>
      <c r="D237" t="s">
        <v>75</v>
      </c>
      <c r="E237" t="s">
        <v>54</v>
      </c>
      <c r="F237" t="s">
        <v>55</v>
      </c>
      <c r="G237" t="s">
        <v>130</v>
      </c>
      <c r="H237">
        <v>0</v>
      </c>
      <c r="I237" t="s">
        <v>21</v>
      </c>
      <c r="J237">
        <v>0</v>
      </c>
      <c r="K237">
        <v>0</v>
      </c>
      <c r="L237">
        <v>0</v>
      </c>
      <c r="M237">
        <v>0</v>
      </c>
      <c r="N237" t="s">
        <v>77</v>
      </c>
      <c r="O237">
        <v>0</v>
      </c>
      <c r="P237" t="s">
        <v>77</v>
      </c>
      <c r="Q237" s="1">
        <v>0</v>
      </c>
    </row>
    <row r="238" spans="1:17">
      <c r="A238" t="s">
        <v>19</v>
      </c>
      <c r="B238" t="s">
        <v>53</v>
      </c>
      <c r="C238" t="s">
        <v>319</v>
      </c>
      <c r="D238" t="s">
        <v>75</v>
      </c>
      <c r="E238" t="s">
        <v>54</v>
      </c>
      <c r="F238" t="s">
        <v>55</v>
      </c>
      <c r="G238" t="s">
        <v>130</v>
      </c>
      <c r="H238">
        <v>0</v>
      </c>
      <c r="I238" t="s">
        <v>21</v>
      </c>
      <c r="J238">
        <v>0</v>
      </c>
      <c r="K238">
        <v>0</v>
      </c>
      <c r="L238">
        <v>0</v>
      </c>
      <c r="M238">
        <v>0</v>
      </c>
      <c r="N238" t="s">
        <v>77</v>
      </c>
      <c r="O238">
        <v>0</v>
      </c>
      <c r="P238" t="s">
        <v>77</v>
      </c>
      <c r="Q238" s="1">
        <v>0</v>
      </c>
    </row>
    <row r="239" spans="1:17">
      <c r="A239" t="s">
        <v>19</v>
      </c>
      <c r="B239" t="s">
        <v>53</v>
      </c>
      <c r="C239" t="s">
        <v>320</v>
      </c>
      <c r="D239" t="s">
        <v>75</v>
      </c>
      <c r="E239" t="s">
        <v>54</v>
      </c>
      <c r="F239" t="s">
        <v>55</v>
      </c>
      <c r="G239" t="s">
        <v>130</v>
      </c>
      <c r="H239">
        <v>0</v>
      </c>
      <c r="I239" t="s">
        <v>21</v>
      </c>
      <c r="J239">
        <v>0</v>
      </c>
      <c r="K239">
        <v>0</v>
      </c>
      <c r="L239">
        <v>0</v>
      </c>
      <c r="M239">
        <v>0</v>
      </c>
      <c r="N239" t="s">
        <v>77</v>
      </c>
      <c r="O239">
        <v>0</v>
      </c>
      <c r="P239" t="s">
        <v>77</v>
      </c>
      <c r="Q239" s="1">
        <v>0</v>
      </c>
    </row>
    <row r="240" spans="1:17">
      <c r="A240" t="s">
        <v>19</v>
      </c>
      <c r="B240" t="s">
        <v>53</v>
      </c>
      <c r="C240" t="s">
        <v>321</v>
      </c>
      <c r="D240" t="s">
        <v>75</v>
      </c>
      <c r="E240" t="s">
        <v>54</v>
      </c>
      <c r="F240" t="s">
        <v>55</v>
      </c>
      <c r="G240" t="s">
        <v>130</v>
      </c>
      <c r="H240">
        <v>0</v>
      </c>
      <c r="I240" t="s">
        <v>21</v>
      </c>
      <c r="J240">
        <v>0</v>
      </c>
      <c r="K240">
        <v>0</v>
      </c>
      <c r="L240">
        <v>0</v>
      </c>
      <c r="M240">
        <v>3</v>
      </c>
      <c r="N240" s="1">
        <v>0</v>
      </c>
      <c r="O240">
        <v>0</v>
      </c>
      <c r="P240" t="s">
        <v>77</v>
      </c>
      <c r="Q240" s="1">
        <v>0</v>
      </c>
    </row>
    <row r="241" spans="1:17">
      <c r="A241" t="s">
        <v>19</v>
      </c>
      <c r="B241" t="s">
        <v>53</v>
      </c>
      <c r="C241" t="s">
        <v>322</v>
      </c>
      <c r="D241" t="s">
        <v>79</v>
      </c>
      <c r="E241" t="s">
        <v>54</v>
      </c>
      <c r="F241" t="s">
        <v>55</v>
      </c>
      <c r="G241" t="s">
        <v>130</v>
      </c>
      <c r="H241">
        <v>0</v>
      </c>
      <c r="I241" t="s">
        <v>21</v>
      </c>
      <c r="J241">
        <v>0</v>
      </c>
      <c r="K241">
        <v>0</v>
      </c>
      <c r="L241">
        <v>0</v>
      </c>
      <c r="M241">
        <v>0</v>
      </c>
      <c r="N241" t="s">
        <v>77</v>
      </c>
      <c r="O241">
        <v>0</v>
      </c>
      <c r="P241" t="s">
        <v>77</v>
      </c>
      <c r="Q241" s="1">
        <v>0</v>
      </c>
    </row>
    <row r="242" spans="1:17">
      <c r="A242" t="s">
        <v>19</v>
      </c>
      <c r="B242" t="s">
        <v>53</v>
      </c>
      <c r="C242" t="s">
        <v>323</v>
      </c>
      <c r="D242" t="s">
        <v>75</v>
      </c>
      <c r="E242" t="s">
        <v>54</v>
      </c>
      <c r="F242" t="s">
        <v>55</v>
      </c>
      <c r="G242" t="s">
        <v>130</v>
      </c>
      <c r="H242">
        <v>0</v>
      </c>
      <c r="I242" t="s">
        <v>21</v>
      </c>
      <c r="J242">
        <v>0</v>
      </c>
      <c r="K242">
        <v>28</v>
      </c>
      <c r="L242">
        <v>79.39</v>
      </c>
      <c r="M242">
        <v>330</v>
      </c>
      <c r="N242" s="1">
        <v>8.48E-2</v>
      </c>
      <c r="O242">
        <v>2.84</v>
      </c>
      <c r="P242" t="s">
        <v>77</v>
      </c>
      <c r="Q242" s="1">
        <v>0</v>
      </c>
    </row>
    <row r="243" spans="1:17">
      <c r="A243" t="s">
        <v>19</v>
      </c>
      <c r="B243" t="s">
        <v>53</v>
      </c>
      <c r="C243" t="s">
        <v>324</v>
      </c>
      <c r="D243" t="s">
        <v>75</v>
      </c>
      <c r="E243" t="s">
        <v>54</v>
      </c>
      <c r="F243" t="s">
        <v>55</v>
      </c>
      <c r="G243" t="s">
        <v>130</v>
      </c>
      <c r="H243">
        <v>0</v>
      </c>
      <c r="I243" t="s">
        <v>21</v>
      </c>
      <c r="J243">
        <v>0</v>
      </c>
      <c r="K243">
        <v>0</v>
      </c>
      <c r="L243">
        <v>0</v>
      </c>
      <c r="M243">
        <v>0</v>
      </c>
      <c r="N243" t="s">
        <v>77</v>
      </c>
      <c r="O243">
        <v>0</v>
      </c>
      <c r="P243" t="s">
        <v>77</v>
      </c>
      <c r="Q243" s="1">
        <v>0</v>
      </c>
    </row>
    <row r="244" spans="1:17">
      <c r="A244" t="s">
        <v>19</v>
      </c>
      <c r="B244" t="s">
        <v>18</v>
      </c>
      <c r="C244" t="s">
        <v>325</v>
      </c>
      <c r="D244" t="s">
        <v>75</v>
      </c>
      <c r="E244" t="s">
        <v>54</v>
      </c>
      <c r="F244" t="s">
        <v>18</v>
      </c>
      <c r="G244" t="s">
        <v>153</v>
      </c>
      <c r="H244">
        <v>3</v>
      </c>
      <c r="I244" t="s">
        <v>21</v>
      </c>
      <c r="J244">
        <v>106.4</v>
      </c>
      <c r="K244">
        <v>67</v>
      </c>
      <c r="L244">
        <v>319.2</v>
      </c>
      <c r="M244" s="10">
        <v>1723</v>
      </c>
      <c r="N244" s="1">
        <v>3.8899999999999997E-2</v>
      </c>
      <c r="O244">
        <v>4.76</v>
      </c>
      <c r="P244">
        <v>3</v>
      </c>
      <c r="Q244" s="1">
        <v>4.48E-2</v>
      </c>
    </row>
    <row r="245" spans="1:17">
      <c r="A245" t="s">
        <v>19</v>
      </c>
      <c r="B245" t="s">
        <v>53</v>
      </c>
      <c r="C245" t="s">
        <v>326</v>
      </c>
      <c r="D245" t="s">
        <v>75</v>
      </c>
      <c r="E245" t="s">
        <v>54</v>
      </c>
      <c r="F245" t="s">
        <v>55</v>
      </c>
      <c r="G245" t="s">
        <v>130</v>
      </c>
      <c r="H245">
        <v>0</v>
      </c>
      <c r="I245" t="s">
        <v>21</v>
      </c>
      <c r="J245">
        <v>0</v>
      </c>
      <c r="K245">
        <v>0</v>
      </c>
      <c r="L245">
        <v>0</v>
      </c>
      <c r="M245">
        <v>0</v>
      </c>
      <c r="N245" t="s">
        <v>77</v>
      </c>
      <c r="O245">
        <v>0</v>
      </c>
      <c r="P245" t="s">
        <v>77</v>
      </c>
      <c r="Q245" s="1">
        <v>0</v>
      </c>
    </row>
    <row r="246" spans="1:17">
      <c r="A246" t="s">
        <v>19</v>
      </c>
      <c r="B246" t="s">
        <v>53</v>
      </c>
      <c r="C246" t="s">
        <v>327</v>
      </c>
      <c r="D246" t="s">
        <v>82</v>
      </c>
      <c r="E246" t="s">
        <v>54</v>
      </c>
      <c r="F246" t="s">
        <v>55</v>
      </c>
      <c r="G246" t="s">
        <v>130</v>
      </c>
      <c r="H246">
        <v>0</v>
      </c>
      <c r="I246" t="s">
        <v>21</v>
      </c>
      <c r="J246">
        <v>0</v>
      </c>
      <c r="K246">
        <v>1</v>
      </c>
      <c r="L246">
        <v>2.12</v>
      </c>
      <c r="M246">
        <v>8</v>
      </c>
      <c r="N246" s="1">
        <v>0.125</v>
      </c>
      <c r="O246">
        <v>2.12</v>
      </c>
      <c r="P246">
        <v>8</v>
      </c>
      <c r="Q246" s="1">
        <v>0</v>
      </c>
    </row>
    <row r="247" spans="1:17">
      <c r="A247" t="s">
        <v>19</v>
      </c>
      <c r="B247" t="s">
        <v>53</v>
      </c>
      <c r="C247" t="s">
        <v>328</v>
      </c>
      <c r="D247" t="s">
        <v>75</v>
      </c>
      <c r="E247" t="s">
        <v>54</v>
      </c>
      <c r="F247" t="s">
        <v>55</v>
      </c>
      <c r="G247" t="s">
        <v>130</v>
      </c>
      <c r="H247">
        <v>2</v>
      </c>
      <c r="I247" t="s">
        <v>21</v>
      </c>
      <c r="J247">
        <v>6.27</v>
      </c>
      <c r="K247">
        <v>1</v>
      </c>
      <c r="L247">
        <v>12.53</v>
      </c>
      <c r="M247">
        <v>16</v>
      </c>
      <c r="N247" s="1">
        <v>6.25E-2</v>
      </c>
      <c r="O247">
        <v>12.53</v>
      </c>
      <c r="P247" t="s">
        <v>77</v>
      </c>
      <c r="Q247" s="1">
        <v>2</v>
      </c>
    </row>
    <row r="248" spans="1:17">
      <c r="A248" t="s">
        <v>19</v>
      </c>
      <c r="B248" t="s">
        <v>53</v>
      </c>
      <c r="C248" t="s">
        <v>329</v>
      </c>
      <c r="D248" t="s">
        <v>75</v>
      </c>
      <c r="E248" t="s">
        <v>54</v>
      </c>
      <c r="F248" t="s">
        <v>55</v>
      </c>
      <c r="G248" t="s">
        <v>130</v>
      </c>
      <c r="H248">
        <v>0</v>
      </c>
      <c r="I248" t="s">
        <v>21</v>
      </c>
      <c r="J248">
        <v>0</v>
      </c>
      <c r="K248">
        <v>0</v>
      </c>
      <c r="L248">
        <v>0</v>
      </c>
      <c r="M248">
        <v>0</v>
      </c>
      <c r="N248" t="s">
        <v>77</v>
      </c>
      <c r="O248">
        <v>0</v>
      </c>
      <c r="P248" t="s">
        <v>77</v>
      </c>
      <c r="Q248" s="1">
        <v>0</v>
      </c>
    </row>
    <row r="249" spans="1:17">
      <c r="A249" t="s">
        <v>19</v>
      </c>
      <c r="B249" t="s">
        <v>53</v>
      </c>
      <c r="C249" t="s">
        <v>330</v>
      </c>
      <c r="D249" t="s">
        <v>75</v>
      </c>
      <c r="E249" t="s">
        <v>54</v>
      </c>
      <c r="F249" t="s">
        <v>55</v>
      </c>
      <c r="G249" t="s">
        <v>130</v>
      </c>
      <c r="H249">
        <v>0</v>
      </c>
      <c r="I249" t="s">
        <v>21</v>
      </c>
      <c r="J249">
        <v>0</v>
      </c>
      <c r="K249">
        <v>0</v>
      </c>
      <c r="L249">
        <v>0</v>
      </c>
      <c r="M249">
        <v>0</v>
      </c>
      <c r="N249" t="s">
        <v>77</v>
      </c>
      <c r="O249">
        <v>0</v>
      </c>
      <c r="P249" t="s">
        <v>77</v>
      </c>
      <c r="Q249" s="1">
        <v>0</v>
      </c>
    </row>
    <row r="250" spans="1:17">
      <c r="A250" t="s">
        <v>19</v>
      </c>
      <c r="B250" t="s">
        <v>53</v>
      </c>
      <c r="C250" t="s">
        <v>331</v>
      </c>
      <c r="D250" t="s">
        <v>79</v>
      </c>
      <c r="E250" t="s">
        <v>54</v>
      </c>
      <c r="F250" t="s">
        <v>55</v>
      </c>
      <c r="G250" t="s">
        <v>130</v>
      </c>
      <c r="H250">
        <v>0</v>
      </c>
      <c r="I250" t="s">
        <v>21</v>
      </c>
      <c r="J250">
        <v>0</v>
      </c>
      <c r="K250">
        <v>0</v>
      </c>
      <c r="L250">
        <v>0</v>
      </c>
      <c r="M250">
        <v>0</v>
      </c>
      <c r="N250" t="s">
        <v>77</v>
      </c>
      <c r="O250">
        <v>0</v>
      </c>
      <c r="P250" t="s">
        <v>77</v>
      </c>
      <c r="Q250" s="1">
        <v>0</v>
      </c>
    </row>
    <row r="251" spans="1:17">
      <c r="A251" t="s">
        <v>19</v>
      </c>
      <c r="B251" t="s">
        <v>53</v>
      </c>
      <c r="C251" t="s">
        <v>332</v>
      </c>
      <c r="D251" t="s">
        <v>75</v>
      </c>
      <c r="E251" t="s">
        <v>54</v>
      </c>
      <c r="F251" t="s">
        <v>55</v>
      </c>
      <c r="G251" t="s">
        <v>130</v>
      </c>
      <c r="H251">
        <v>0</v>
      </c>
      <c r="I251" t="s">
        <v>21</v>
      </c>
      <c r="J251">
        <v>0</v>
      </c>
      <c r="K251">
        <v>1</v>
      </c>
      <c r="L251">
        <v>3.68</v>
      </c>
      <c r="M251">
        <v>39</v>
      </c>
      <c r="N251" s="1">
        <v>2.5600000000000001E-2</v>
      </c>
      <c r="O251">
        <v>3.68</v>
      </c>
      <c r="P251" t="s">
        <v>77</v>
      </c>
      <c r="Q251" s="1">
        <v>0</v>
      </c>
    </row>
    <row r="252" spans="1:17">
      <c r="A252" t="s">
        <v>19</v>
      </c>
      <c r="B252" t="s">
        <v>53</v>
      </c>
      <c r="C252" t="s">
        <v>333</v>
      </c>
      <c r="D252" t="s">
        <v>75</v>
      </c>
      <c r="E252" t="s">
        <v>54</v>
      </c>
      <c r="F252" t="s">
        <v>55</v>
      </c>
      <c r="G252" t="s">
        <v>130</v>
      </c>
      <c r="H252">
        <v>0</v>
      </c>
      <c r="I252" t="s">
        <v>21</v>
      </c>
      <c r="J252">
        <v>0</v>
      </c>
      <c r="K252">
        <v>1</v>
      </c>
      <c r="L252">
        <v>2.4</v>
      </c>
      <c r="M252">
        <v>33</v>
      </c>
      <c r="N252" s="1">
        <v>3.0300000000000001E-2</v>
      </c>
      <c r="O252">
        <v>2.4</v>
      </c>
      <c r="P252" t="s">
        <v>77</v>
      </c>
      <c r="Q252" s="1">
        <v>0</v>
      </c>
    </row>
    <row r="253" spans="1:17">
      <c r="A253" t="s">
        <v>19</v>
      </c>
      <c r="B253" t="s">
        <v>53</v>
      </c>
      <c r="C253" t="s">
        <v>334</v>
      </c>
      <c r="D253" t="s">
        <v>75</v>
      </c>
      <c r="E253" t="s">
        <v>54</v>
      </c>
      <c r="F253" t="s">
        <v>55</v>
      </c>
      <c r="G253" t="s">
        <v>130</v>
      </c>
      <c r="H253">
        <v>0</v>
      </c>
      <c r="I253" t="s">
        <v>21</v>
      </c>
      <c r="J253">
        <v>0</v>
      </c>
      <c r="K253">
        <v>1</v>
      </c>
      <c r="L253">
        <v>2.8</v>
      </c>
      <c r="M253">
        <v>40</v>
      </c>
      <c r="N253" s="1">
        <v>2.5000000000000001E-2</v>
      </c>
      <c r="O253">
        <v>2.8</v>
      </c>
      <c r="P253" t="s">
        <v>77</v>
      </c>
      <c r="Q253" s="1">
        <v>0</v>
      </c>
    </row>
    <row r="254" spans="1:17">
      <c r="A254" t="s">
        <v>19</v>
      </c>
      <c r="B254" t="s">
        <v>53</v>
      </c>
      <c r="C254" t="s">
        <v>335</v>
      </c>
      <c r="D254" t="s">
        <v>75</v>
      </c>
      <c r="E254" t="s">
        <v>54</v>
      </c>
      <c r="F254" t="s">
        <v>55</v>
      </c>
      <c r="G254" t="s">
        <v>130</v>
      </c>
      <c r="H254">
        <v>0</v>
      </c>
      <c r="I254" t="s">
        <v>21</v>
      </c>
      <c r="J254">
        <v>0</v>
      </c>
      <c r="K254">
        <v>0</v>
      </c>
      <c r="L254">
        <v>0</v>
      </c>
      <c r="M254">
        <v>0</v>
      </c>
      <c r="N254" t="s">
        <v>77</v>
      </c>
      <c r="O254">
        <v>0</v>
      </c>
      <c r="P254" t="s">
        <v>77</v>
      </c>
      <c r="Q254" s="1">
        <v>0</v>
      </c>
    </row>
    <row r="255" spans="1:17">
      <c r="A255" t="s">
        <v>19</v>
      </c>
      <c r="B255" t="s">
        <v>53</v>
      </c>
      <c r="C255" t="s">
        <v>336</v>
      </c>
      <c r="D255" t="s">
        <v>82</v>
      </c>
      <c r="E255" t="s">
        <v>51</v>
      </c>
      <c r="F255" t="s">
        <v>55</v>
      </c>
      <c r="G255" t="s">
        <v>80</v>
      </c>
      <c r="H255">
        <v>0</v>
      </c>
      <c r="I255" t="s">
        <v>21</v>
      </c>
      <c r="J255">
        <v>0</v>
      </c>
      <c r="K255">
        <v>0</v>
      </c>
      <c r="L255">
        <v>0</v>
      </c>
      <c r="M255">
        <v>0</v>
      </c>
      <c r="N255" t="s">
        <v>77</v>
      </c>
      <c r="O255">
        <v>0</v>
      </c>
      <c r="P255" t="s">
        <v>77</v>
      </c>
      <c r="Q255" s="1">
        <v>0</v>
      </c>
    </row>
    <row r="256" spans="1:17">
      <c r="A256" t="s">
        <v>19</v>
      </c>
      <c r="B256" t="s">
        <v>53</v>
      </c>
      <c r="C256" t="s">
        <v>200</v>
      </c>
      <c r="D256" t="s">
        <v>75</v>
      </c>
      <c r="E256" t="s">
        <v>51</v>
      </c>
      <c r="F256" t="s">
        <v>55</v>
      </c>
      <c r="G256" t="s">
        <v>80</v>
      </c>
      <c r="H256">
        <v>0</v>
      </c>
      <c r="I256" t="s">
        <v>21</v>
      </c>
      <c r="J256">
        <v>0</v>
      </c>
      <c r="K256">
        <v>8</v>
      </c>
      <c r="L256">
        <v>40.119999999999997</v>
      </c>
      <c r="M256">
        <v>113</v>
      </c>
      <c r="N256" s="1">
        <v>7.0800000000000002E-2</v>
      </c>
      <c r="O256">
        <v>5.0199999999999996</v>
      </c>
      <c r="P256" t="s">
        <v>77</v>
      </c>
      <c r="Q256" s="1">
        <v>0</v>
      </c>
    </row>
    <row r="257" spans="1:17">
      <c r="A257" t="s">
        <v>19</v>
      </c>
      <c r="B257" t="s">
        <v>53</v>
      </c>
      <c r="C257" t="s">
        <v>320</v>
      </c>
      <c r="D257" t="s">
        <v>75</v>
      </c>
      <c r="E257" t="s">
        <v>51</v>
      </c>
      <c r="F257" t="s">
        <v>55</v>
      </c>
      <c r="G257" t="s">
        <v>80</v>
      </c>
      <c r="H257">
        <v>0</v>
      </c>
      <c r="I257" t="s">
        <v>21</v>
      </c>
      <c r="J257">
        <v>0</v>
      </c>
      <c r="K257">
        <v>4</v>
      </c>
      <c r="L257">
        <v>14.7</v>
      </c>
      <c r="M257">
        <v>56</v>
      </c>
      <c r="N257" s="1">
        <v>7.1400000000000005E-2</v>
      </c>
      <c r="O257">
        <v>3.68</v>
      </c>
      <c r="P257" t="s">
        <v>77</v>
      </c>
      <c r="Q257" s="1">
        <v>0</v>
      </c>
    </row>
    <row r="258" spans="1:17">
      <c r="A258" t="s">
        <v>19</v>
      </c>
      <c r="B258" t="s">
        <v>53</v>
      </c>
      <c r="C258" t="s">
        <v>337</v>
      </c>
      <c r="D258" t="s">
        <v>82</v>
      </c>
      <c r="E258" t="s">
        <v>51</v>
      </c>
      <c r="F258" t="s">
        <v>55</v>
      </c>
      <c r="G258" t="s">
        <v>80</v>
      </c>
      <c r="H258">
        <v>0</v>
      </c>
      <c r="I258" t="s">
        <v>21</v>
      </c>
      <c r="J258">
        <v>0</v>
      </c>
      <c r="K258">
        <v>0</v>
      </c>
      <c r="L258">
        <v>0</v>
      </c>
      <c r="M258">
        <v>0</v>
      </c>
      <c r="N258" t="s">
        <v>77</v>
      </c>
      <c r="O258">
        <v>0</v>
      </c>
      <c r="P258" t="s">
        <v>77</v>
      </c>
      <c r="Q258" s="1">
        <v>0</v>
      </c>
    </row>
    <row r="259" spans="1:17">
      <c r="A259" t="s">
        <v>19</v>
      </c>
      <c r="B259" t="s">
        <v>53</v>
      </c>
      <c r="C259" t="s">
        <v>338</v>
      </c>
      <c r="D259" t="s">
        <v>79</v>
      </c>
      <c r="E259" t="s">
        <v>51</v>
      </c>
      <c r="F259" t="s">
        <v>55</v>
      </c>
      <c r="G259" t="s">
        <v>80</v>
      </c>
      <c r="H259">
        <v>0</v>
      </c>
      <c r="I259" t="s">
        <v>21</v>
      </c>
      <c r="J259">
        <v>0</v>
      </c>
      <c r="K259">
        <v>0</v>
      </c>
      <c r="L259">
        <v>0</v>
      </c>
      <c r="M259">
        <v>0</v>
      </c>
      <c r="N259" t="s">
        <v>77</v>
      </c>
      <c r="O259">
        <v>0</v>
      </c>
      <c r="P259" t="s">
        <v>77</v>
      </c>
      <c r="Q259" s="1">
        <v>0</v>
      </c>
    </row>
    <row r="260" spans="1:17">
      <c r="A260" t="s">
        <v>19</v>
      </c>
      <c r="B260" t="s">
        <v>53</v>
      </c>
      <c r="C260" t="s">
        <v>339</v>
      </c>
      <c r="D260" t="s">
        <v>79</v>
      </c>
      <c r="E260" t="s">
        <v>51</v>
      </c>
      <c r="F260" t="s">
        <v>55</v>
      </c>
      <c r="G260" t="s">
        <v>80</v>
      </c>
      <c r="H260">
        <v>0</v>
      </c>
      <c r="I260" t="s">
        <v>21</v>
      </c>
      <c r="J260">
        <v>0</v>
      </c>
      <c r="K260">
        <v>0</v>
      </c>
      <c r="L260">
        <v>0</v>
      </c>
      <c r="M260">
        <v>0</v>
      </c>
      <c r="N260" t="s">
        <v>77</v>
      </c>
      <c r="O260">
        <v>0</v>
      </c>
      <c r="P260" t="s">
        <v>77</v>
      </c>
      <c r="Q260" s="1">
        <v>0</v>
      </c>
    </row>
    <row r="261" spans="1:17">
      <c r="A261" t="s">
        <v>19</v>
      </c>
      <c r="B261" t="s">
        <v>53</v>
      </c>
      <c r="C261" t="s">
        <v>340</v>
      </c>
      <c r="D261" t="s">
        <v>79</v>
      </c>
      <c r="E261" t="s">
        <v>51</v>
      </c>
      <c r="F261" t="s">
        <v>55</v>
      </c>
      <c r="G261" t="s">
        <v>80</v>
      </c>
      <c r="H261">
        <v>0</v>
      </c>
      <c r="I261" t="s">
        <v>21</v>
      </c>
      <c r="J261">
        <v>0</v>
      </c>
      <c r="K261">
        <v>0</v>
      </c>
      <c r="L261">
        <v>0</v>
      </c>
      <c r="M261">
        <v>0</v>
      </c>
      <c r="N261" t="s">
        <v>77</v>
      </c>
      <c r="O261">
        <v>0</v>
      </c>
      <c r="P261" t="s">
        <v>77</v>
      </c>
      <c r="Q261" s="1">
        <v>0</v>
      </c>
    </row>
    <row r="262" spans="1:17">
      <c r="A262" t="s">
        <v>19</v>
      </c>
      <c r="B262" t="s">
        <v>18</v>
      </c>
      <c r="C262" t="s">
        <v>341</v>
      </c>
      <c r="D262" t="s">
        <v>75</v>
      </c>
      <c r="E262" t="s">
        <v>51</v>
      </c>
      <c r="F262" t="s">
        <v>18</v>
      </c>
      <c r="G262" t="s">
        <v>95</v>
      </c>
      <c r="H262">
        <v>0</v>
      </c>
      <c r="I262" t="s">
        <v>21</v>
      </c>
      <c r="J262">
        <v>0</v>
      </c>
      <c r="K262">
        <v>12</v>
      </c>
      <c r="L262">
        <v>101.48</v>
      </c>
      <c r="M262">
        <v>215</v>
      </c>
      <c r="N262" s="1">
        <v>5.5800000000000002E-2</v>
      </c>
      <c r="O262">
        <v>8.4600000000000009</v>
      </c>
      <c r="P262" t="s">
        <v>77</v>
      </c>
      <c r="Q262" s="1">
        <v>0</v>
      </c>
    </row>
    <row r="263" spans="1:17">
      <c r="A263" t="s">
        <v>19</v>
      </c>
      <c r="B263" t="s">
        <v>53</v>
      </c>
      <c r="C263" t="s">
        <v>342</v>
      </c>
      <c r="D263" t="s">
        <v>82</v>
      </c>
      <c r="E263" t="s">
        <v>51</v>
      </c>
      <c r="F263" t="s">
        <v>55</v>
      </c>
      <c r="G263" t="s">
        <v>80</v>
      </c>
      <c r="H263">
        <v>0</v>
      </c>
      <c r="I263" t="s">
        <v>21</v>
      </c>
      <c r="J263">
        <v>0</v>
      </c>
      <c r="K263">
        <v>0</v>
      </c>
      <c r="L263">
        <v>0</v>
      </c>
      <c r="M263">
        <v>0</v>
      </c>
      <c r="N263" t="s">
        <v>77</v>
      </c>
      <c r="O263">
        <v>0</v>
      </c>
      <c r="P263" t="s">
        <v>77</v>
      </c>
      <c r="Q263" s="1">
        <v>0</v>
      </c>
    </row>
    <row r="264" spans="1:17">
      <c r="A264" t="s">
        <v>19</v>
      </c>
      <c r="B264" t="s">
        <v>53</v>
      </c>
      <c r="C264" t="s">
        <v>343</v>
      </c>
      <c r="D264" t="s">
        <v>75</v>
      </c>
      <c r="E264" t="s">
        <v>57</v>
      </c>
      <c r="F264" t="s">
        <v>55</v>
      </c>
      <c r="G264" t="s">
        <v>130</v>
      </c>
      <c r="H264">
        <v>1</v>
      </c>
      <c r="I264" t="s">
        <v>21</v>
      </c>
      <c r="J264">
        <v>18.07</v>
      </c>
      <c r="K264">
        <v>5</v>
      </c>
      <c r="L264">
        <v>18.07</v>
      </c>
      <c r="M264">
        <v>90</v>
      </c>
      <c r="N264" s="1">
        <v>5.5599999999999997E-2</v>
      </c>
      <c r="O264">
        <v>3.61</v>
      </c>
      <c r="P264" t="s">
        <v>77</v>
      </c>
      <c r="Q264" s="1">
        <v>0.2</v>
      </c>
    </row>
    <row r="265" spans="1:17">
      <c r="A265" t="s">
        <v>19</v>
      </c>
      <c r="B265" t="s">
        <v>53</v>
      </c>
      <c r="C265" t="s">
        <v>344</v>
      </c>
      <c r="D265" t="s">
        <v>82</v>
      </c>
      <c r="E265" t="s">
        <v>57</v>
      </c>
      <c r="F265" t="s">
        <v>55</v>
      </c>
      <c r="G265" t="s">
        <v>130</v>
      </c>
      <c r="H265">
        <v>0</v>
      </c>
      <c r="I265" t="s">
        <v>21</v>
      </c>
      <c r="J265">
        <v>0</v>
      </c>
      <c r="K265">
        <v>3</v>
      </c>
      <c r="L265">
        <v>13.56</v>
      </c>
      <c r="M265">
        <v>20</v>
      </c>
      <c r="N265" s="1">
        <v>0.15</v>
      </c>
      <c r="O265">
        <v>4.5199999999999996</v>
      </c>
      <c r="P265" t="s">
        <v>77</v>
      </c>
      <c r="Q265" s="1">
        <v>0</v>
      </c>
    </row>
    <row r="266" spans="1:17">
      <c r="A266" t="s">
        <v>19</v>
      </c>
      <c r="B266" t="s">
        <v>53</v>
      </c>
      <c r="C266" t="s">
        <v>345</v>
      </c>
      <c r="D266" t="s">
        <v>79</v>
      </c>
      <c r="E266" t="s">
        <v>57</v>
      </c>
      <c r="F266" t="s">
        <v>55</v>
      </c>
      <c r="G266" t="s">
        <v>130</v>
      </c>
      <c r="H266">
        <v>0</v>
      </c>
      <c r="I266" t="s">
        <v>21</v>
      </c>
      <c r="J266">
        <v>0</v>
      </c>
      <c r="K266">
        <v>0</v>
      </c>
      <c r="L266">
        <v>0</v>
      </c>
      <c r="M266">
        <v>0</v>
      </c>
      <c r="N266" t="s">
        <v>77</v>
      </c>
      <c r="O266">
        <v>0</v>
      </c>
      <c r="P266" t="s">
        <v>77</v>
      </c>
      <c r="Q266" s="1">
        <v>0</v>
      </c>
    </row>
    <row r="267" spans="1:17">
      <c r="A267" t="s">
        <v>19</v>
      </c>
      <c r="B267" t="s">
        <v>53</v>
      </c>
      <c r="C267" t="s">
        <v>346</v>
      </c>
      <c r="D267" t="s">
        <v>79</v>
      </c>
      <c r="E267" t="s">
        <v>57</v>
      </c>
      <c r="F267" t="s">
        <v>55</v>
      </c>
      <c r="G267" t="s">
        <v>130</v>
      </c>
      <c r="H267">
        <v>0</v>
      </c>
      <c r="I267" t="s">
        <v>21</v>
      </c>
      <c r="J267">
        <v>0</v>
      </c>
      <c r="K267">
        <v>0</v>
      </c>
      <c r="L267">
        <v>0</v>
      </c>
      <c r="M267">
        <v>0</v>
      </c>
      <c r="N267" t="s">
        <v>77</v>
      </c>
      <c r="O267">
        <v>0</v>
      </c>
      <c r="P267" t="s">
        <v>77</v>
      </c>
      <c r="Q267" s="1">
        <v>0</v>
      </c>
    </row>
    <row r="268" spans="1:17">
      <c r="A268" t="s">
        <v>19</v>
      </c>
      <c r="B268" t="s">
        <v>53</v>
      </c>
      <c r="C268" t="s">
        <v>347</v>
      </c>
      <c r="D268" t="s">
        <v>75</v>
      </c>
      <c r="E268" t="s">
        <v>57</v>
      </c>
      <c r="F268" t="s">
        <v>55</v>
      </c>
      <c r="G268" t="s">
        <v>130</v>
      </c>
      <c r="H268">
        <v>0</v>
      </c>
      <c r="I268" t="s">
        <v>21</v>
      </c>
      <c r="J268">
        <v>0</v>
      </c>
      <c r="K268">
        <v>0</v>
      </c>
      <c r="L268">
        <v>0</v>
      </c>
      <c r="M268">
        <v>0</v>
      </c>
      <c r="N268" t="s">
        <v>77</v>
      </c>
      <c r="O268">
        <v>0</v>
      </c>
      <c r="P268" t="s">
        <v>77</v>
      </c>
      <c r="Q268" s="1">
        <v>0</v>
      </c>
    </row>
    <row r="269" spans="1:17">
      <c r="A269" t="s">
        <v>19</v>
      </c>
      <c r="B269" t="s">
        <v>53</v>
      </c>
      <c r="C269" t="s">
        <v>348</v>
      </c>
      <c r="D269" t="s">
        <v>75</v>
      </c>
      <c r="E269" t="s">
        <v>57</v>
      </c>
      <c r="F269" t="s">
        <v>55</v>
      </c>
      <c r="G269" t="s">
        <v>130</v>
      </c>
      <c r="H269">
        <v>0</v>
      </c>
      <c r="I269" t="s">
        <v>21</v>
      </c>
      <c r="J269">
        <v>0</v>
      </c>
      <c r="K269">
        <v>0</v>
      </c>
      <c r="L269">
        <v>0</v>
      </c>
      <c r="M269">
        <v>0</v>
      </c>
      <c r="N269" t="s">
        <v>77</v>
      </c>
      <c r="O269">
        <v>0</v>
      </c>
      <c r="P269" t="s">
        <v>77</v>
      </c>
      <c r="Q269" s="1">
        <v>0</v>
      </c>
    </row>
    <row r="270" spans="1:17">
      <c r="A270" t="s">
        <v>19</v>
      </c>
      <c r="B270" t="s">
        <v>53</v>
      </c>
      <c r="C270" t="s">
        <v>349</v>
      </c>
      <c r="D270" t="s">
        <v>79</v>
      </c>
      <c r="E270" t="s">
        <v>57</v>
      </c>
      <c r="F270" t="s">
        <v>55</v>
      </c>
      <c r="G270" t="s">
        <v>130</v>
      </c>
      <c r="H270">
        <v>0</v>
      </c>
      <c r="I270" t="s">
        <v>21</v>
      </c>
      <c r="J270">
        <v>0</v>
      </c>
      <c r="K270">
        <v>0</v>
      </c>
      <c r="L270">
        <v>0</v>
      </c>
      <c r="M270">
        <v>0</v>
      </c>
      <c r="N270" t="s">
        <v>77</v>
      </c>
      <c r="O270">
        <v>0</v>
      </c>
      <c r="P270" t="s">
        <v>77</v>
      </c>
      <c r="Q270" s="1">
        <v>0</v>
      </c>
    </row>
    <row r="271" spans="1:17">
      <c r="A271" t="s">
        <v>19</v>
      </c>
      <c r="B271" t="s">
        <v>53</v>
      </c>
      <c r="C271" t="s">
        <v>350</v>
      </c>
      <c r="D271" t="s">
        <v>79</v>
      </c>
      <c r="E271" t="s">
        <v>57</v>
      </c>
      <c r="F271" t="s">
        <v>55</v>
      </c>
      <c r="G271" t="s">
        <v>130</v>
      </c>
      <c r="H271">
        <v>0</v>
      </c>
      <c r="I271" t="s">
        <v>21</v>
      </c>
      <c r="J271">
        <v>0</v>
      </c>
      <c r="K271">
        <v>0</v>
      </c>
      <c r="L271">
        <v>0</v>
      </c>
      <c r="M271">
        <v>0</v>
      </c>
      <c r="N271" t="s">
        <v>77</v>
      </c>
      <c r="O271">
        <v>0</v>
      </c>
      <c r="P271" t="s">
        <v>77</v>
      </c>
      <c r="Q271" s="1">
        <v>0</v>
      </c>
    </row>
    <row r="272" spans="1:17">
      <c r="A272" t="s">
        <v>19</v>
      </c>
      <c r="B272" t="s">
        <v>53</v>
      </c>
      <c r="C272" t="s">
        <v>351</v>
      </c>
      <c r="D272" t="s">
        <v>79</v>
      </c>
      <c r="E272" t="s">
        <v>57</v>
      </c>
      <c r="F272" t="s">
        <v>55</v>
      </c>
      <c r="G272" t="s">
        <v>130</v>
      </c>
      <c r="H272">
        <v>0</v>
      </c>
      <c r="I272" t="s">
        <v>21</v>
      </c>
      <c r="J272">
        <v>0</v>
      </c>
      <c r="K272">
        <v>0</v>
      </c>
      <c r="L272">
        <v>0</v>
      </c>
      <c r="M272">
        <v>0</v>
      </c>
      <c r="N272" t="s">
        <v>77</v>
      </c>
      <c r="O272">
        <v>0</v>
      </c>
      <c r="P272" t="s">
        <v>77</v>
      </c>
      <c r="Q272" s="1">
        <v>0</v>
      </c>
    </row>
    <row r="273" spans="1:17">
      <c r="A273" t="s">
        <v>19</v>
      </c>
      <c r="B273" t="s">
        <v>53</v>
      </c>
      <c r="C273" t="s">
        <v>352</v>
      </c>
      <c r="D273" t="s">
        <v>79</v>
      </c>
      <c r="E273" t="s">
        <v>57</v>
      </c>
      <c r="F273" t="s">
        <v>55</v>
      </c>
      <c r="G273" t="s">
        <v>130</v>
      </c>
      <c r="H273">
        <v>0</v>
      </c>
      <c r="I273" t="s">
        <v>21</v>
      </c>
      <c r="J273">
        <v>0</v>
      </c>
      <c r="K273">
        <v>0</v>
      </c>
      <c r="L273">
        <v>0</v>
      </c>
      <c r="M273">
        <v>0</v>
      </c>
      <c r="N273" t="s">
        <v>77</v>
      </c>
      <c r="O273">
        <v>0</v>
      </c>
      <c r="P273" t="s">
        <v>77</v>
      </c>
      <c r="Q273" s="1">
        <v>0</v>
      </c>
    </row>
    <row r="274" spans="1:17">
      <c r="A274" t="s">
        <v>19</v>
      </c>
      <c r="B274" t="s">
        <v>53</v>
      </c>
      <c r="C274" t="s">
        <v>353</v>
      </c>
      <c r="D274" t="s">
        <v>82</v>
      </c>
      <c r="E274" t="s">
        <v>57</v>
      </c>
      <c r="F274" t="s">
        <v>55</v>
      </c>
      <c r="G274" t="s">
        <v>130</v>
      </c>
      <c r="H274">
        <v>0</v>
      </c>
      <c r="I274" t="s">
        <v>21</v>
      </c>
      <c r="J274">
        <v>0</v>
      </c>
      <c r="K274">
        <v>0</v>
      </c>
      <c r="L274">
        <v>0</v>
      </c>
      <c r="M274">
        <v>0</v>
      </c>
      <c r="N274" t="s">
        <v>77</v>
      </c>
      <c r="O274">
        <v>0</v>
      </c>
      <c r="P274" t="s">
        <v>77</v>
      </c>
      <c r="Q274" s="1">
        <v>0</v>
      </c>
    </row>
    <row r="275" spans="1:17">
      <c r="A275" t="s">
        <v>19</v>
      </c>
      <c r="B275" t="s">
        <v>53</v>
      </c>
      <c r="C275" t="s">
        <v>354</v>
      </c>
      <c r="D275" t="s">
        <v>75</v>
      </c>
      <c r="E275" t="s">
        <v>57</v>
      </c>
      <c r="F275" t="s">
        <v>55</v>
      </c>
      <c r="G275" t="s">
        <v>130</v>
      </c>
      <c r="H275">
        <v>0</v>
      </c>
      <c r="I275" t="s">
        <v>21</v>
      </c>
      <c r="J275">
        <v>0</v>
      </c>
      <c r="K275">
        <v>0</v>
      </c>
      <c r="L275">
        <v>0</v>
      </c>
      <c r="M275">
        <v>0</v>
      </c>
      <c r="N275" t="s">
        <v>77</v>
      </c>
      <c r="O275">
        <v>0</v>
      </c>
      <c r="P275" t="s">
        <v>77</v>
      </c>
      <c r="Q275" s="1">
        <v>0</v>
      </c>
    </row>
    <row r="276" spans="1:17">
      <c r="A276" t="s">
        <v>19</v>
      </c>
      <c r="B276" t="s">
        <v>53</v>
      </c>
      <c r="C276" t="s">
        <v>355</v>
      </c>
      <c r="D276" t="s">
        <v>82</v>
      </c>
      <c r="E276" t="s">
        <v>57</v>
      </c>
      <c r="F276" t="s">
        <v>55</v>
      </c>
      <c r="G276" t="s">
        <v>130</v>
      </c>
      <c r="H276">
        <v>0</v>
      </c>
      <c r="I276" t="s">
        <v>21</v>
      </c>
      <c r="J276">
        <v>0</v>
      </c>
      <c r="K276">
        <v>1</v>
      </c>
      <c r="L276">
        <v>12.8</v>
      </c>
      <c r="M276">
        <v>9</v>
      </c>
      <c r="N276" s="1">
        <v>0.1111</v>
      </c>
      <c r="O276">
        <v>12.8</v>
      </c>
      <c r="P276" t="s">
        <v>77</v>
      </c>
      <c r="Q276" s="1">
        <v>0</v>
      </c>
    </row>
    <row r="277" spans="1:17">
      <c r="A277" t="s">
        <v>19</v>
      </c>
      <c r="B277" t="s">
        <v>53</v>
      </c>
      <c r="C277" t="s">
        <v>356</v>
      </c>
      <c r="D277" t="s">
        <v>82</v>
      </c>
      <c r="E277" t="s">
        <v>57</v>
      </c>
      <c r="F277" t="s">
        <v>55</v>
      </c>
      <c r="G277" t="s">
        <v>130</v>
      </c>
      <c r="H277">
        <v>0</v>
      </c>
      <c r="I277" t="s">
        <v>21</v>
      </c>
      <c r="J277">
        <v>0</v>
      </c>
      <c r="K277">
        <v>0</v>
      </c>
      <c r="L277">
        <v>0</v>
      </c>
      <c r="M277">
        <v>2</v>
      </c>
      <c r="N277" s="1">
        <v>0</v>
      </c>
      <c r="O277">
        <v>0</v>
      </c>
      <c r="P277" t="s">
        <v>77</v>
      </c>
      <c r="Q277" s="1">
        <v>0</v>
      </c>
    </row>
    <row r="278" spans="1:17">
      <c r="A278" t="s">
        <v>19</v>
      </c>
      <c r="B278" t="s">
        <v>53</v>
      </c>
      <c r="C278" t="s">
        <v>357</v>
      </c>
      <c r="D278" t="s">
        <v>75</v>
      </c>
      <c r="E278" t="s">
        <v>57</v>
      </c>
      <c r="F278" t="s">
        <v>55</v>
      </c>
      <c r="G278" t="s">
        <v>130</v>
      </c>
      <c r="H278">
        <v>1</v>
      </c>
      <c r="I278" t="s">
        <v>21</v>
      </c>
      <c r="J278">
        <v>63.88</v>
      </c>
      <c r="K278">
        <v>15</v>
      </c>
      <c r="L278">
        <v>63.88</v>
      </c>
      <c r="M278">
        <v>210</v>
      </c>
      <c r="N278" s="1">
        <v>7.1400000000000005E-2</v>
      </c>
      <c r="O278">
        <v>4.26</v>
      </c>
      <c r="P278">
        <v>8</v>
      </c>
      <c r="Q278" s="1">
        <v>6.6699999999999995E-2</v>
      </c>
    </row>
    <row r="279" spans="1:17">
      <c r="A279" t="s">
        <v>19</v>
      </c>
      <c r="B279" t="s">
        <v>53</v>
      </c>
      <c r="C279" t="s">
        <v>358</v>
      </c>
      <c r="D279" t="s">
        <v>79</v>
      </c>
      <c r="E279" t="s">
        <v>57</v>
      </c>
      <c r="F279" t="s">
        <v>55</v>
      </c>
      <c r="G279" t="s">
        <v>130</v>
      </c>
      <c r="H279">
        <v>0</v>
      </c>
      <c r="I279" t="s">
        <v>21</v>
      </c>
      <c r="J279">
        <v>0</v>
      </c>
      <c r="K279">
        <v>0</v>
      </c>
      <c r="L279">
        <v>0</v>
      </c>
      <c r="M279">
        <v>2</v>
      </c>
      <c r="N279" s="1">
        <v>0</v>
      </c>
      <c r="O279">
        <v>0</v>
      </c>
      <c r="P279" t="s">
        <v>77</v>
      </c>
      <c r="Q279" s="1">
        <v>0</v>
      </c>
    </row>
    <row r="280" spans="1:17">
      <c r="A280" t="s">
        <v>19</v>
      </c>
      <c r="B280" t="s">
        <v>53</v>
      </c>
      <c r="C280" t="s">
        <v>359</v>
      </c>
      <c r="D280" t="s">
        <v>75</v>
      </c>
      <c r="E280" t="s">
        <v>57</v>
      </c>
      <c r="F280" t="s">
        <v>55</v>
      </c>
      <c r="G280" t="s">
        <v>130</v>
      </c>
      <c r="H280">
        <v>0</v>
      </c>
      <c r="I280" t="s">
        <v>21</v>
      </c>
      <c r="J280">
        <v>0</v>
      </c>
      <c r="K280">
        <v>0</v>
      </c>
      <c r="L280">
        <v>0</v>
      </c>
      <c r="M280">
        <v>1</v>
      </c>
      <c r="N280" s="1">
        <v>0</v>
      </c>
      <c r="O280">
        <v>0</v>
      </c>
      <c r="P280" t="s">
        <v>77</v>
      </c>
      <c r="Q280" s="1">
        <v>0</v>
      </c>
    </row>
    <row r="281" spans="1:17">
      <c r="A281" t="s">
        <v>19</v>
      </c>
      <c r="B281" t="s">
        <v>53</v>
      </c>
      <c r="C281" t="s">
        <v>360</v>
      </c>
      <c r="D281" t="s">
        <v>75</v>
      </c>
      <c r="E281" t="s">
        <v>57</v>
      </c>
      <c r="F281" t="s">
        <v>55</v>
      </c>
      <c r="G281" t="s">
        <v>130</v>
      </c>
      <c r="H281">
        <v>0</v>
      </c>
      <c r="I281" t="s">
        <v>21</v>
      </c>
      <c r="J281">
        <v>0</v>
      </c>
      <c r="K281">
        <v>0</v>
      </c>
      <c r="L281">
        <v>0</v>
      </c>
      <c r="M281">
        <v>0</v>
      </c>
      <c r="N281" t="s">
        <v>77</v>
      </c>
      <c r="O281">
        <v>0</v>
      </c>
      <c r="P281" t="s">
        <v>77</v>
      </c>
      <c r="Q281" s="1">
        <v>0</v>
      </c>
    </row>
    <row r="282" spans="1:17">
      <c r="A282" t="s">
        <v>19</v>
      </c>
      <c r="B282" t="s">
        <v>53</v>
      </c>
      <c r="C282" t="s">
        <v>361</v>
      </c>
      <c r="D282" t="s">
        <v>82</v>
      </c>
      <c r="E282" t="s">
        <v>57</v>
      </c>
      <c r="F282" t="s">
        <v>55</v>
      </c>
      <c r="G282" t="s">
        <v>130</v>
      </c>
      <c r="H282">
        <v>0</v>
      </c>
      <c r="I282" t="s">
        <v>21</v>
      </c>
      <c r="J282">
        <v>0</v>
      </c>
      <c r="K282">
        <v>0</v>
      </c>
      <c r="L282">
        <v>0</v>
      </c>
      <c r="M282">
        <v>0</v>
      </c>
      <c r="N282" t="s">
        <v>77</v>
      </c>
      <c r="O282">
        <v>0</v>
      </c>
      <c r="P282" t="s">
        <v>77</v>
      </c>
      <c r="Q282" s="1">
        <v>0</v>
      </c>
    </row>
    <row r="283" spans="1:17">
      <c r="A283" t="s">
        <v>19</v>
      </c>
      <c r="B283" t="s">
        <v>53</v>
      </c>
      <c r="C283" t="s">
        <v>362</v>
      </c>
      <c r="D283" t="s">
        <v>82</v>
      </c>
      <c r="E283" t="s">
        <v>57</v>
      </c>
      <c r="F283" t="s">
        <v>55</v>
      </c>
      <c r="G283" t="s">
        <v>130</v>
      </c>
      <c r="H283">
        <v>0</v>
      </c>
      <c r="I283" t="s">
        <v>21</v>
      </c>
      <c r="J283">
        <v>0</v>
      </c>
      <c r="K283">
        <v>0</v>
      </c>
      <c r="L283">
        <v>0</v>
      </c>
      <c r="M283">
        <v>0</v>
      </c>
      <c r="N283" t="s">
        <v>77</v>
      </c>
      <c r="O283">
        <v>0</v>
      </c>
      <c r="P283" t="s">
        <v>77</v>
      </c>
      <c r="Q283" s="1">
        <v>0</v>
      </c>
    </row>
    <row r="284" spans="1:17">
      <c r="A284" t="s">
        <v>19</v>
      </c>
      <c r="B284" t="s">
        <v>53</v>
      </c>
      <c r="C284" t="s">
        <v>363</v>
      </c>
      <c r="D284" t="s">
        <v>75</v>
      </c>
      <c r="E284" t="s">
        <v>57</v>
      </c>
      <c r="F284" t="s">
        <v>55</v>
      </c>
      <c r="G284" t="s">
        <v>130</v>
      </c>
      <c r="H284">
        <v>0</v>
      </c>
      <c r="I284" t="s">
        <v>21</v>
      </c>
      <c r="J284">
        <v>0</v>
      </c>
      <c r="K284">
        <v>2</v>
      </c>
      <c r="L284">
        <v>9.65</v>
      </c>
      <c r="M284">
        <v>46</v>
      </c>
      <c r="N284" s="1">
        <v>4.3499999999999997E-2</v>
      </c>
      <c r="O284">
        <v>4.83</v>
      </c>
      <c r="P284">
        <v>5</v>
      </c>
      <c r="Q284" s="1">
        <v>0</v>
      </c>
    </row>
    <row r="285" spans="1:17">
      <c r="A285" t="s">
        <v>19</v>
      </c>
      <c r="B285" t="s">
        <v>53</v>
      </c>
      <c r="C285" t="s">
        <v>364</v>
      </c>
      <c r="D285" t="s">
        <v>82</v>
      </c>
      <c r="E285" t="s">
        <v>57</v>
      </c>
      <c r="F285" t="s">
        <v>55</v>
      </c>
      <c r="G285" t="s">
        <v>130</v>
      </c>
      <c r="H285">
        <v>0</v>
      </c>
      <c r="I285" t="s">
        <v>21</v>
      </c>
      <c r="J285">
        <v>0</v>
      </c>
      <c r="K285">
        <v>0</v>
      </c>
      <c r="L285">
        <v>0</v>
      </c>
      <c r="M285">
        <v>2</v>
      </c>
      <c r="N285" s="1">
        <v>0</v>
      </c>
      <c r="O285">
        <v>0</v>
      </c>
      <c r="P285" t="s">
        <v>77</v>
      </c>
      <c r="Q285" s="1">
        <v>0</v>
      </c>
    </row>
    <row r="286" spans="1:17">
      <c r="A286" t="s">
        <v>19</v>
      </c>
      <c r="B286" t="s">
        <v>53</v>
      </c>
      <c r="C286" t="s">
        <v>365</v>
      </c>
      <c r="D286" t="s">
        <v>75</v>
      </c>
      <c r="E286" t="s">
        <v>57</v>
      </c>
      <c r="F286" t="s">
        <v>55</v>
      </c>
      <c r="G286" t="s">
        <v>130</v>
      </c>
      <c r="H286">
        <v>0</v>
      </c>
      <c r="I286" t="s">
        <v>21</v>
      </c>
      <c r="J286">
        <v>0</v>
      </c>
      <c r="K286">
        <v>0</v>
      </c>
      <c r="L286">
        <v>0</v>
      </c>
      <c r="M286">
        <v>0</v>
      </c>
      <c r="N286" t="s">
        <v>77</v>
      </c>
      <c r="O286">
        <v>0</v>
      </c>
      <c r="P286" t="s">
        <v>77</v>
      </c>
      <c r="Q286" s="1">
        <v>0</v>
      </c>
    </row>
    <row r="287" spans="1:17">
      <c r="A287" t="s">
        <v>19</v>
      </c>
      <c r="B287" t="s">
        <v>53</v>
      </c>
      <c r="C287" t="s">
        <v>366</v>
      </c>
      <c r="D287" t="s">
        <v>75</v>
      </c>
      <c r="E287" t="s">
        <v>54</v>
      </c>
      <c r="F287" t="s">
        <v>55</v>
      </c>
      <c r="G287" t="s">
        <v>130</v>
      </c>
      <c r="H287">
        <v>0</v>
      </c>
      <c r="I287" t="s">
        <v>21</v>
      </c>
      <c r="J287">
        <v>0</v>
      </c>
      <c r="K287">
        <v>5</v>
      </c>
      <c r="L287">
        <v>17.45</v>
      </c>
      <c r="M287">
        <v>154</v>
      </c>
      <c r="N287" s="1">
        <v>3.2500000000000001E-2</v>
      </c>
      <c r="O287">
        <v>3.49</v>
      </c>
      <c r="P287" t="s">
        <v>77</v>
      </c>
      <c r="Q287" s="1">
        <v>0</v>
      </c>
    </row>
    <row r="288" spans="1:17">
      <c r="A288" t="s">
        <v>19</v>
      </c>
      <c r="B288" t="s">
        <v>53</v>
      </c>
      <c r="C288" t="s">
        <v>367</v>
      </c>
      <c r="D288" t="s">
        <v>75</v>
      </c>
      <c r="E288" t="s">
        <v>54</v>
      </c>
      <c r="F288" t="s">
        <v>55</v>
      </c>
      <c r="G288" t="s">
        <v>130</v>
      </c>
      <c r="H288">
        <v>0</v>
      </c>
      <c r="I288" t="s">
        <v>21</v>
      </c>
      <c r="J288">
        <v>0</v>
      </c>
      <c r="K288">
        <v>0</v>
      </c>
      <c r="L288">
        <v>0</v>
      </c>
      <c r="M288">
        <v>0</v>
      </c>
      <c r="N288" t="s">
        <v>77</v>
      </c>
      <c r="O288">
        <v>0</v>
      </c>
      <c r="P288" t="s">
        <v>77</v>
      </c>
      <c r="Q288" s="1">
        <v>0</v>
      </c>
    </row>
    <row r="289" spans="1:17">
      <c r="A289" t="s">
        <v>19</v>
      </c>
      <c r="B289" t="s">
        <v>53</v>
      </c>
      <c r="C289" t="s">
        <v>368</v>
      </c>
      <c r="D289" t="s">
        <v>75</v>
      </c>
      <c r="E289" t="s">
        <v>54</v>
      </c>
      <c r="F289" t="s">
        <v>55</v>
      </c>
      <c r="G289" t="s">
        <v>130</v>
      </c>
      <c r="H289">
        <v>0</v>
      </c>
      <c r="I289" t="s">
        <v>21</v>
      </c>
      <c r="J289">
        <v>0</v>
      </c>
      <c r="K289">
        <v>3</v>
      </c>
      <c r="L289">
        <v>11.89</v>
      </c>
      <c r="M289">
        <v>56</v>
      </c>
      <c r="N289" s="1">
        <v>5.3600000000000002E-2</v>
      </c>
      <c r="O289">
        <v>3.96</v>
      </c>
      <c r="P289" t="s">
        <v>77</v>
      </c>
      <c r="Q289" s="1">
        <v>0</v>
      </c>
    </row>
    <row r="290" spans="1:17">
      <c r="A290" t="s">
        <v>63</v>
      </c>
      <c r="B290" t="s">
        <v>53</v>
      </c>
      <c r="C290" t="s">
        <v>232</v>
      </c>
      <c r="D290" t="s">
        <v>79</v>
      </c>
      <c r="E290" t="s">
        <v>56</v>
      </c>
      <c r="F290" t="s">
        <v>55</v>
      </c>
      <c r="G290" t="s">
        <v>130</v>
      </c>
      <c r="H290">
        <v>0</v>
      </c>
      <c r="I290" t="s">
        <v>21</v>
      </c>
      <c r="J290">
        <v>0</v>
      </c>
      <c r="K290">
        <v>0</v>
      </c>
      <c r="L290">
        <v>0</v>
      </c>
      <c r="M290">
        <v>0</v>
      </c>
      <c r="N290" t="s">
        <v>77</v>
      </c>
      <c r="O290">
        <v>0</v>
      </c>
      <c r="P290" t="s">
        <v>77</v>
      </c>
      <c r="Q290" s="1">
        <v>0</v>
      </c>
    </row>
    <row r="291" spans="1:17">
      <c r="A291" t="s">
        <v>63</v>
      </c>
      <c r="B291" t="s">
        <v>53</v>
      </c>
      <c r="C291" t="s">
        <v>229</v>
      </c>
      <c r="D291" t="s">
        <v>79</v>
      </c>
      <c r="E291" t="s">
        <v>56</v>
      </c>
      <c r="F291" t="s">
        <v>55</v>
      </c>
      <c r="G291" t="s">
        <v>130</v>
      </c>
      <c r="H291">
        <v>0</v>
      </c>
      <c r="I291" t="s">
        <v>21</v>
      </c>
      <c r="J291">
        <v>0</v>
      </c>
      <c r="K291">
        <v>0</v>
      </c>
      <c r="L291">
        <v>0</v>
      </c>
      <c r="M291">
        <v>0</v>
      </c>
      <c r="N291" t="s">
        <v>77</v>
      </c>
      <c r="O291">
        <v>0</v>
      </c>
      <c r="P291" t="s">
        <v>77</v>
      </c>
      <c r="Q291" s="1">
        <v>0</v>
      </c>
    </row>
    <row r="292" spans="1:17">
      <c r="A292" t="s">
        <v>63</v>
      </c>
      <c r="B292" t="s">
        <v>53</v>
      </c>
      <c r="C292" t="s">
        <v>236</v>
      </c>
      <c r="D292" t="s">
        <v>82</v>
      </c>
      <c r="E292" t="s">
        <v>56</v>
      </c>
      <c r="F292" t="s">
        <v>55</v>
      </c>
      <c r="G292" t="s">
        <v>130</v>
      </c>
      <c r="H292">
        <v>0</v>
      </c>
      <c r="I292" t="s">
        <v>21</v>
      </c>
      <c r="J292">
        <v>0</v>
      </c>
      <c r="K292">
        <v>0</v>
      </c>
      <c r="L292">
        <v>0</v>
      </c>
      <c r="M292">
        <v>0</v>
      </c>
      <c r="N292" t="s">
        <v>77</v>
      </c>
      <c r="O292">
        <v>0</v>
      </c>
      <c r="P292" t="s">
        <v>77</v>
      </c>
      <c r="Q292" s="1">
        <v>0</v>
      </c>
    </row>
    <row r="293" spans="1:17">
      <c r="A293" t="s">
        <v>63</v>
      </c>
      <c r="B293" t="s">
        <v>53</v>
      </c>
      <c r="C293" t="s">
        <v>231</v>
      </c>
      <c r="D293" t="s">
        <v>75</v>
      </c>
      <c r="E293" t="s">
        <v>56</v>
      </c>
      <c r="F293" t="s">
        <v>55</v>
      </c>
      <c r="G293" t="s">
        <v>130</v>
      </c>
      <c r="H293">
        <v>0</v>
      </c>
      <c r="I293" t="s">
        <v>21</v>
      </c>
      <c r="J293">
        <v>0</v>
      </c>
      <c r="K293">
        <v>0</v>
      </c>
      <c r="L293">
        <v>0</v>
      </c>
      <c r="M293">
        <v>0</v>
      </c>
      <c r="N293" t="s">
        <v>77</v>
      </c>
      <c r="O293">
        <v>0</v>
      </c>
      <c r="P293" t="s">
        <v>77</v>
      </c>
      <c r="Q293" s="1">
        <v>0</v>
      </c>
    </row>
    <row r="294" spans="1:17">
      <c r="A294" t="s">
        <v>63</v>
      </c>
      <c r="B294" t="s">
        <v>53</v>
      </c>
      <c r="C294" t="s">
        <v>234</v>
      </c>
      <c r="D294" t="s">
        <v>75</v>
      </c>
      <c r="E294" t="s">
        <v>56</v>
      </c>
      <c r="F294" t="s">
        <v>55</v>
      </c>
      <c r="G294" t="s">
        <v>130</v>
      </c>
      <c r="H294">
        <v>0</v>
      </c>
      <c r="I294" t="s">
        <v>21</v>
      </c>
      <c r="J294">
        <v>0</v>
      </c>
      <c r="K294">
        <v>0</v>
      </c>
      <c r="L294">
        <v>0</v>
      </c>
      <c r="M294">
        <v>0</v>
      </c>
      <c r="N294" t="s">
        <v>77</v>
      </c>
      <c r="O294">
        <v>0</v>
      </c>
      <c r="P294" t="s">
        <v>77</v>
      </c>
      <c r="Q294" s="1">
        <v>0</v>
      </c>
    </row>
    <row r="295" spans="1:17">
      <c r="A295" t="s">
        <v>63</v>
      </c>
      <c r="B295" t="s">
        <v>53</v>
      </c>
      <c r="C295" t="s">
        <v>235</v>
      </c>
      <c r="D295" t="s">
        <v>79</v>
      </c>
      <c r="E295" t="s">
        <v>56</v>
      </c>
      <c r="F295" t="s">
        <v>55</v>
      </c>
      <c r="G295" t="s">
        <v>130</v>
      </c>
      <c r="H295">
        <v>0</v>
      </c>
      <c r="I295" t="s">
        <v>21</v>
      </c>
      <c r="J295">
        <v>0</v>
      </c>
      <c r="K295">
        <v>0</v>
      </c>
      <c r="L295">
        <v>0</v>
      </c>
      <c r="M295">
        <v>0</v>
      </c>
      <c r="N295" t="s">
        <v>77</v>
      </c>
      <c r="O295">
        <v>0</v>
      </c>
      <c r="P295" t="s">
        <v>77</v>
      </c>
      <c r="Q295" s="1">
        <v>0</v>
      </c>
    </row>
    <row r="296" spans="1:17">
      <c r="A296" t="s">
        <v>63</v>
      </c>
      <c r="B296" t="s">
        <v>53</v>
      </c>
      <c r="C296" t="s">
        <v>230</v>
      </c>
      <c r="D296" t="s">
        <v>82</v>
      </c>
      <c r="E296" t="s">
        <v>56</v>
      </c>
      <c r="F296" t="s">
        <v>55</v>
      </c>
      <c r="G296" t="s">
        <v>130</v>
      </c>
      <c r="H296">
        <v>0</v>
      </c>
      <c r="I296" t="s">
        <v>21</v>
      </c>
      <c r="J296">
        <v>0</v>
      </c>
      <c r="K296">
        <v>0</v>
      </c>
      <c r="L296">
        <v>0</v>
      </c>
      <c r="M296">
        <v>0</v>
      </c>
      <c r="N296" t="s">
        <v>77</v>
      </c>
      <c r="O296">
        <v>0</v>
      </c>
      <c r="P296" t="s">
        <v>77</v>
      </c>
      <c r="Q296" s="1">
        <v>0</v>
      </c>
    </row>
    <row r="297" spans="1:17">
      <c r="A297" t="s">
        <v>63</v>
      </c>
      <c r="B297" t="s">
        <v>53</v>
      </c>
      <c r="C297" t="s">
        <v>237</v>
      </c>
      <c r="D297" t="s">
        <v>82</v>
      </c>
      <c r="E297" t="s">
        <v>56</v>
      </c>
      <c r="F297" t="s">
        <v>55</v>
      </c>
      <c r="G297" t="s">
        <v>130</v>
      </c>
      <c r="H297">
        <v>0</v>
      </c>
      <c r="I297" t="s">
        <v>21</v>
      </c>
      <c r="J297">
        <v>0</v>
      </c>
      <c r="K297">
        <v>0</v>
      </c>
      <c r="L297">
        <v>0</v>
      </c>
      <c r="M297">
        <v>0</v>
      </c>
      <c r="N297" t="s">
        <v>77</v>
      </c>
      <c r="O297">
        <v>0</v>
      </c>
      <c r="P297" t="s">
        <v>77</v>
      </c>
      <c r="Q297" s="1">
        <v>0</v>
      </c>
    </row>
    <row r="298" spans="1:17">
      <c r="A298" t="s">
        <v>63</v>
      </c>
      <c r="B298" t="s">
        <v>53</v>
      </c>
      <c r="C298" t="s">
        <v>233</v>
      </c>
      <c r="D298" t="s">
        <v>75</v>
      </c>
      <c r="E298" t="s">
        <v>56</v>
      </c>
      <c r="F298" t="s">
        <v>55</v>
      </c>
      <c r="G298" t="s">
        <v>130</v>
      </c>
      <c r="H298">
        <v>0</v>
      </c>
      <c r="I298" t="s">
        <v>21</v>
      </c>
      <c r="J298">
        <v>0</v>
      </c>
      <c r="K298">
        <v>2</v>
      </c>
      <c r="L298">
        <v>9.2200000000000006</v>
      </c>
      <c r="M298">
        <v>44</v>
      </c>
      <c r="N298" s="1">
        <v>4.5499999999999999E-2</v>
      </c>
      <c r="O298">
        <v>4.6100000000000003</v>
      </c>
      <c r="P298" t="s">
        <v>77</v>
      </c>
      <c r="Q298" s="1">
        <v>0</v>
      </c>
    </row>
    <row r="299" spans="1:17">
      <c r="A299" t="s">
        <v>63</v>
      </c>
      <c r="B299" t="s">
        <v>53</v>
      </c>
      <c r="C299" t="s">
        <v>247</v>
      </c>
      <c r="D299" t="s">
        <v>79</v>
      </c>
      <c r="E299" t="s">
        <v>54</v>
      </c>
      <c r="F299" t="s">
        <v>55</v>
      </c>
      <c r="G299" t="s">
        <v>130</v>
      </c>
      <c r="H299">
        <v>0</v>
      </c>
      <c r="I299" t="s">
        <v>21</v>
      </c>
      <c r="J299">
        <v>0</v>
      </c>
      <c r="K299">
        <v>0</v>
      </c>
      <c r="L299">
        <v>0</v>
      </c>
      <c r="M299">
        <v>0</v>
      </c>
      <c r="N299" t="s">
        <v>77</v>
      </c>
      <c r="O299">
        <v>0</v>
      </c>
      <c r="P299" t="s">
        <v>77</v>
      </c>
      <c r="Q299" s="1">
        <v>0</v>
      </c>
    </row>
    <row r="300" spans="1:17">
      <c r="A300" t="s">
        <v>63</v>
      </c>
      <c r="B300" t="s">
        <v>53</v>
      </c>
      <c r="C300" t="s">
        <v>185</v>
      </c>
      <c r="D300" t="s">
        <v>79</v>
      </c>
      <c r="E300" t="s">
        <v>54</v>
      </c>
      <c r="F300" t="s">
        <v>55</v>
      </c>
      <c r="G300" t="s">
        <v>130</v>
      </c>
      <c r="H300">
        <v>0</v>
      </c>
      <c r="I300" t="s">
        <v>21</v>
      </c>
      <c r="J300">
        <v>0</v>
      </c>
      <c r="K300">
        <v>1</v>
      </c>
      <c r="L300">
        <v>6.89</v>
      </c>
      <c r="M300">
        <v>1</v>
      </c>
      <c r="N300" s="1">
        <v>1</v>
      </c>
      <c r="O300">
        <v>6.89</v>
      </c>
      <c r="P300">
        <v>3</v>
      </c>
      <c r="Q300" s="1">
        <v>0</v>
      </c>
    </row>
    <row r="301" spans="1:17">
      <c r="A301" t="s">
        <v>63</v>
      </c>
      <c r="B301" t="s">
        <v>53</v>
      </c>
      <c r="C301" t="s">
        <v>324</v>
      </c>
      <c r="D301" t="s">
        <v>75</v>
      </c>
      <c r="E301" t="s">
        <v>54</v>
      </c>
      <c r="F301" t="s">
        <v>55</v>
      </c>
      <c r="G301" t="s">
        <v>130</v>
      </c>
      <c r="H301">
        <v>0</v>
      </c>
      <c r="I301" t="s">
        <v>21</v>
      </c>
      <c r="J301">
        <v>0</v>
      </c>
      <c r="K301">
        <v>0</v>
      </c>
      <c r="L301">
        <v>0</v>
      </c>
      <c r="M301">
        <v>0</v>
      </c>
      <c r="N301" t="s">
        <v>77</v>
      </c>
      <c r="O301">
        <v>0</v>
      </c>
      <c r="P301" t="s">
        <v>77</v>
      </c>
      <c r="Q301" s="1">
        <v>0</v>
      </c>
    </row>
    <row r="302" spans="1:17">
      <c r="A302" t="s">
        <v>63</v>
      </c>
      <c r="B302" t="s">
        <v>53</v>
      </c>
      <c r="C302" t="s">
        <v>318</v>
      </c>
      <c r="D302" t="s">
        <v>75</v>
      </c>
      <c r="E302" t="s">
        <v>54</v>
      </c>
      <c r="F302" t="s">
        <v>55</v>
      </c>
      <c r="G302" t="s">
        <v>130</v>
      </c>
      <c r="H302">
        <v>0</v>
      </c>
      <c r="I302" t="s">
        <v>21</v>
      </c>
      <c r="J302">
        <v>0</v>
      </c>
      <c r="K302">
        <v>0</v>
      </c>
      <c r="L302">
        <v>0</v>
      </c>
      <c r="M302">
        <v>0</v>
      </c>
      <c r="N302" t="s">
        <v>77</v>
      </c>
      <c r="O302">
        <v>0</v>
      </c>
      <c r="P302" t="s">
        <v>77</v>
      </c>
      <c r="Q302" s="1">
        <v>0</v>
      </c>
    </row>
    <row r="303" spans="1:17">
      <c r="A303" t="s">
        <v>63</v>
      </c>
      <c r="B303" t="s">
        <v>53</v>
      </c>
      <c r="C303" t="s">
        <v>222</v>
      </c>
      <c r="D303" t="s">
        <v>75</v>
      </c>
      <c r="E303" t="s">
        <v>54</v>
      </c>
      <c r="F303" t="s">
        <v>55</v>
      </c>
      <c r="G303" t="s">
        <v>130</v>
      </c>
      <c r="H303">
        <v>0</v>
      </c>
      <c r="I303" t="s">
        <v>21</v>
      </c>
      <c r="J303">
        <v>0</v>
      </c>
      <c r="K303">
        <v>0</v>
      </c>
      <c r="L303">
        <v>0</v>
      </c>
      <c r="M303">
        <v>0</v>
      </c>
      <c r="N303" t="s">
        <v>77</v>
      </c>
      <c r="O303">
        <v>0</v>
      </c>
      <c r="P303" t="s">
        <v>77</v>
      </c>
      <c r="Q303" s="1">
        <v>0</v>
      </c>
    </row>
    <row r="304" spans="1:17">
      <c r="A304" t="s">
        <v>63</v>
      </c>
      <c r="B304" t="s">
        <v>53</v>
      </c>
      <c r="C304" t="s">
        <v>335</v>
      </c>
      <c r="D304" t="s">
        <v>75</v>
      </c>
      <c r="E304" t="s">
        <v>54</v>
      </c>
      <c r="F304" t="s">
        <v>55</v>
      </c>
      <c r="G304" t="s">
        <v>130</v>
      </c>
      <c r="H304">
        <v>0</v>
      </c>
      <c r="I304" t="s">
        <v>21</v>
      </c>
      <c r="J304">
        <v>0</v>
      </c>
      <c r="K304">
        <v>0</v>
      </c>
      <c r="L304">
        <v>0</v>
      </c>
      <c r="M304">
        <v>0</v>
      </c>
      <c r="N304" t="s">
        <v>77</v>
      </c>
      <c r="O304">
        <v>0</v>
      </c>
      <c r="P304" t="s">
        <v>77</v>
      </c>
      <c r="Q304" s="1">
        <v>0</v>
      </c>
    </row>
    <row r="305" spans="1:17">
      <c r="A305" t="s">
        <v>63</v>
      </c>
      <c r="B305" t="s">
        <v>53</v>
      </c>
      <c r="C305" t="s">
        <v>190</v>
      </c>
      <c r="D305" t="s">
        <v>75</v>
      </c>
      <c r="E305" t="s">
        <v>54</v>
      </c>
      <c r="F305" t="s">
        <v>55</v>
      </c>
      <c r="G305" t="s">
        <v>130</v>
      </c>
      <c r="H305">
        <v>0</v>
      </c>
      <c r="I305" t="s">
        <v>21</v>
      </c>
      <c r="J305">
        <v>0</v>
      </c>
      <c r="K305">
        <v>0</v>
      </c>
      <c r="L305">
        <v>0</v>
      </c>
      <c r="M305">
        <v>2</v>
      </c>
      <c r="N305" s="1">
        <v>0</v>
      </c>
      <c r="O305">
        <v>0</v>
      </c>
      <c r="P305">
        <v>6</v>
      </c>
      <c r="Q305" s="1">
        <v>0</v>
      </c>
    </row>
    <row r="306" spans="1:17">
      <c r="A306" t="s">
        <v>63</v>
      </c>
      <c r="B306" t="s">
        <v>53</v>
      </c>
      <c r="C306" t="s">
        <v>263</v>
      </c>
      <c r="D306" t="s">
        <v>75</v>
      </c>
      <c r="E306" t="s">
        <v>54</v>
      </c>
      <c r="F306" t="s">
        <v>55</v>
      </c>
      <c r="G306" t="s">
        <v>130</v>
      </c>
      <c r="H306">
        <v>0</v>
      </c>
      <c r="I306" t="s">
        <v>21</v>
      </c>
      <c r="J306">
        <v>0</v>
      </c>
      <c r="K306">
        <v>0</v>
      </c>
      <c r="L306">
        <v>0</v>
      </c>
      <c r="M306">
        <v>0</v>
      </c>
      <c r="N306" t="s">
        <v>77</v>
      </c>
      <c r="O306">
        <v>0</v>
      </c>
      <c r="P306" t="s">
        <v>77</v>
      </c>
      <c r="Q306" s="1">
        <v>0</v>
      </c>
    </row>
    <row r="307" spans="1:17">
      <c r="A307" t="s">
        <v>63</v>
      </c>
      <c r="B307" t="s">
        <v>53</v>
      </c>
      <c r="C307" t="s">
        <v>205</v>
      </c>
      <c r="D307" t="s">
        <v>79</v>
      </c>
      <c r="E307" t="s">
        <v>54</v>
      </c>
      <c r="F307" t="s">
        <v>55</v>
      </c>
      <c r="G307" t="s">
        <v>130</v>
      </c>
      <c r="H307">
        <v>0</v>
      </c>
      <c r="I307" t="s">
        <v>21</v>
      </c>
      <c r="J307">
        <v>0</v>
      </c>
      <c r="K307">
        <v>0</v>
      </c>
      <c r="L307">
        <v>0</v>
      </c>
      <c r="M307">
        <v>0</v>
      </c>
      <c r="N307" t="s">
        <v>77</v>
      </c>
      <c r="O307">
        <v>0</v>
      </c>
      <c r="P307" t="s">
        <v>77</v>
      </c>
      <c r="Q307" s="1">
        <v>0</v>
      </c>
    </row>
    <row r="308" spans="1:17">
      <c r="A308" t="s">
        <v>63</v>
      </c>
      <c r="B308" t="s">
        <v>53</v>
      </c>
      <c r="C308" t="s">
        <v>244</v>
      </c>
      <c r="D308" t="s">
        <v>75</v>
      </c>
      <c r="E308" t="s">
        <v>54</v>
      </c>
      <c r="F308" t="s">
        <v>55</v>
      </c>
      <c r="G308" t="s">
        <v>130</v>
      </c>
      <c r="H308">
        <v>0</v>
      </c>
      <c r="I308" t="s">
        <v>21</v>
      </c>
      <c r="J308">
        <v>0</v>
      </c>
      <c r="K308">
        <v>0</v>
      </c>
      <c r="L308">
        <v>0</v>
      </c>
      <c r="M308">
        <v>0</v>
      </c>
      <c r="N308" t="s">
        <v>77</v>
      </c>
      <c r="O308">
        <v>0</v>
      </c>
      <c r="P308" t="s">
        <v>77</v>
      </c>
      <c r="Q308" s="1">
        <v>0</v>
      </c>
    </row>
    <row r="309" spans="1:17">
      <c r="A309" t="s">
        <v>63</v>
      </c>
      <c r="B309" t="s">
        <v>53</v>
      </c>
      <c r="C309" t="s">
        <v>311</v>
      </c>
      <c r="D309" t="s">
        <v>75</v>
      </c>
      <c r="E309" t="s">
        <v>54</v>
      </c>
      <c r="F309" t="s">
        <v>55</v>
      </c>
      <c r="G309" t="s">
        <v>130</v>
      </c>
      <c r="H309">
        <v>0</v>
      </c>
      <c r="I309" t="s">
        <v>21</v>
      </c>
      <c r="J309">
        <v>0</v>
      </c>
      <c r="K309">
        <v>0</v>
      </c>
      <c r="L309">
        <v>0</v>
      </c>
      <c r="M309">
        <v>0</v>
      </c>
      <c r="N309" t="s">
        <v>77</v>
      </c>
      <c r="O309">
        <v>0</v>
      </c>
      <c r="P309" t="s">
        <v>77</v>
      </c>
      <c r="Q309" s="1">
        <v>0</v>
      </c>
    </row>
    <row r="310" spans="1:17">
      <c r="A310" t="s">
        <v>63</v>
      </c>
      <c r="B310" t="s">
        <v>53</v>
      </c>
      <c r="C310" t="s">
        <v>308</v>
      </c>
      <c r="D310" t="s">
        <v>75</v>
      </c>
      <c r="E310" t="s">
        <v>54</v>
      </c>
      <c r="F310" t="s">
        <v>55</v>
      </c>
      <c r="G310" t="s">
        <v>130</v>
      </c>
      <c r="H310">
        <v>0</v>
      </c>
      <c r="I310" t="s">
        <v>21</v>
      </c>
      <c r="J310">
        <v>0</v>
      </c>
      <c r="K310">
        <v>0</v>
      </c>
      <c r="L310">
        <v>0</v>
      </c>
      <c r="M310">
        <v>0</v>
      </c>
      <c r="N310" t="s">
        <v>77</v>
      </c>
      <c r="O310">
        <v>0</v>
      </c>
      <c r="P310" t="s">
        <v>77</v>
      </c>
      <c r="Q310" s="1">
        <v>0</v>
      </c>
    </row>
    <row r="311" spans="1:17">
      <c r="A311" t="s">
        <v>63</v>
      </c>
      <c r="B311" t="s">
        <v>53</v>
      </c>
      <c r="C311" t="s">
        <v>186</v>
      </c>
      <c r="D311" t="s">
        <v>75</v>
      </c>
      <c r="E311" t="s">
        <v>54</v>
      </c>
      <c r="F311" t="s">
        <v>55</v>
      </c>
      <c r="G311" t="s">
        <v>130</v>
      </c>
      <c r="H311">
        <v>0</v>
      </c>
      <c r="I311" t="s">
        <v>21</v>
      </c>
      <c r="J311">
        <v>0</v>
      </c>
      <c r="K311">
        <v>0</v>
      </c>
      <c r="L311">
        <v>0</v>
      </c>
      <c r="M311">
        <v>0</v>
      </c>
      <c r="N311" t="s">
        <v>77</v>
      </c>
      <c r="O311">
        <v>0</v>
      </c>
      <c r="P311" t="s">
        <v>77</v>
      </c>
      <c r="Q311" s="1">
        <v>0</v>
      </c>
    </row>
    <row r="312" spans="1:17">
      <c r="A312" t="s">
        <v>63</v>
      </c>
      <c r="B312" t="s">
        <v>53</v>
      </c>
      <c r="C312" t="s">
        <v>134</v>
      </c>
      <c r="D312" t="s">
        <v>82</v>
      </c>
      <c r="E312" t="s">
        <v>54</v>
      </c>
      <c r="F312" t="s">
        <v>55</v>
      </c>
      <c r="G312" t="s">
        <v>130</v>
      </c>
      <c r="H312">
        <v>0</v>
      </c>
      <c r="I312" t="s">
        <v>21</v>
      </c>
      <c r="J312">
        <v>0</v>
      </c>
      <c r="K312">
        <v>0</v>
      </c>
      <c r="L312">
        <v>0</v>
      </c>
      <c r="M312">
        <v>0</v>
      </c>
      <c r="N312" t="s">
        <v>77</v>
      </c>
      <c r="O312">
        <v>0</v>
      </c>
      <c r="P312" t="s">
        <v>77</v>
      </c>
      <c r="Q312" s="1">
        <v>0</v>
      </c>
    </row>
    <row r="313" spans="1:17">
      <c r="A313" t="s">
        <v>63</v>
      </c>
      <c r="B313" t="s">
        <v>53</v>
      </c>
      <c r="C313" t="s">
        <v>221</v>
      </c>
      <c r="D313" t="s">
        <v>75</v>
      </c>
      <c r="E313" t="s">
        <v>54</v>
      </c>
      <c r="F313" t="s">
        <v>55</v>
      </c>
      <c r="G313" t="s">
        <v>130</v>
      </c>
      <c r="H313">
        <v>1</v>
      </c>
      <c r="I313" t="s">
        <v>21</v>
      </c>
      <c r="J313">
        <v>40.36</v>
      </c>
      <c r="K313">
        <v>14</v>
      </c>
      <c r="L313">
        <v>40.36</v>
      </c>
      <c r="M313">
        <v>155</v>
      </c>
      <c r="N313" s="1">
        <v>9.0300000000000005E-2</v>
      </c>
      <c r="O313">
        <v>2.88</v>
      </c>
      <c r="P313" t="s">
        <v>77</v>
      </c>
      <c r="Q313" s="1">
        <v>7.1400000000000005E-2</v>
      </c>
    </row>
    <row r="314" spans="1:17">
      <c r="A314" t="s">
        <v>63</v>
      </c>
      <c r="B314" t="s">
        <v>53</v>
      </c>
      <c r="C314" t="s">
        <v>228</v>
      </c>
      <c r="D314" t="s">
        <v>75</v>
      </c>
      <c r="E314" t="s">
        <v>54</v>
      </c>
      <c r="F314" t="s">
        <v>55</v>
      </c>
      <c r="G314" t="s">
        <v>130</v>
      </c>
      <c r="H314">
        <v>0</v>
      </c>
      <c r="I314" t="s">
        <v>21</v>
      </c>
      <c r="J314">
        <v>0</v>
      </c>
      <c r="K314">
        <v>0</v>
      </c>
      <c r="L314">
        <v>0</v>
      </c>
      <c r="M314">
        <v>0</v>
      </c>
      <c r="N314" t="s">
        <v>77</v>
      </c>
      <c r="O314">
        <v>0</v>
      </c>
      <c r="P314" t="s">
        <v>77</v>
      </c>
      <c r="Q314" s="1">
        <v>0</v>
      </c>
    </row>
    <row r="315" spans="1:17">
      <c r="A315" t="s">
        <v>63</v>
      </c>
      <c r="B315" t="s">
        <v>53</v>
      </c>
      <c r="C315" t="s">
        <v>270</v>
      </c>
      <c r="D315" t="s">
        <v>75</v>
      </c>
      <c r="E315" t="s">
        <v>54</v>
      </c>
      <c r="F315" t="s">
        <v>55</v>
      </c>
      <c r="G315" t="s">
        <v>130</v>
      </c>
      <c r="H315">
        <v>0</v>
      </c>
      <c r="I315" t="s">
        <v>21</v>
      </c>
      <c r="J315">
        <v>0</v>
      </c>
      <c r="K315">
        <v>0</v>
      </c>
      <c r="L315">
        <v>0</v>
      </c>
      <c r="M315">
        <v>0</v>
      </c>
      <c r="N315" t="s">
        <v>77</v>
      </c>
      <c r="O315">
        <v>0</v>
      </c>
      <c r="P315" t="s">
        <v>77</v>
      </c>
      <c r="Q315" s="1">
        <v>0</v>
      </c>
    </row>
    <row r="316" spans="1:17">
      <c r="A316" t="s">
        <v>63</v>
      </c>
      <c r="B316" t="s">
        <v>53</v>
      </c>
      <c r="C316" t="s">
        <v>259</v>
      </c>
      <c r="D316" t="s">
        <v>82</v>
      </c>
      <c r="E316" t="s">
        <v>54</v>
      </c>
      <c r="F316" t="s">
        <v>55</v>
      </c>
      <c r="G316" t="s">
        <v>130</v>
      </c>
      <c r="H316">
        <v>0</v>
      </c>
      <c r="I316" t="s">
        <v>21</v>
      </c>
      <c r="J316">
        <v>0</v>
      </c>
      <c r="K316">
        <v>0</v>
      </c>
      <c r="L316">
        <v>0</v>
      </c>
      <c r="M316">
        <v>0</v>
      </c>
      <c r="N316" t="s">
        <v>77</v>
      </c>
      <c r="O316">
        <v>0</v>
      </c>
      <c r="P316" t="s">
        <v>77</v>
      </c>
      <c r="Q316" s="1">
        <v>0</v>
      </c>
    </row>
    <row r="317" spans="1:17">
      <c r="A317" t="s">
        <v>63</v>
      </c>
      <c r="B317" t="s">
        <v>53</v>
      </c>
      <c r="C317" t="s">
        <v>276</v>
      </c>
      <c r="D317" t="s">
        <v>75</v>
      </c>
      <c r="E317" t="s">
        <v>54</v>
      </c>
      <c r="F317" t="s">
        <v>55</v>
      </c>
      <c r="G317" t="s">
        <v>130</v>
      </c>
      <c r="H317">
        <v>0</v>
      </c>
      <c r="I317" t="s">
        <v>21</v>
      </c>
      <c r="J317">
        <v>0</v>
      </c>
      <c r="K317">
        <v>2</v>
      </c>
      <c r="L317">
        <v>2.74</v>
      </c>
      <c r="M317">
        <v>9</v>
      </c>
      <c r="N317" s="1">
        <v>0.22220000000000001</v>
      </c>
      <c r="O317">
        <v>1.37</v>
      </c>
      <c r="P317" t="s">
        <v>77</v>
      </c>
      <c r="Q317" s="1">
        <v>0</v>
      </c>
    </row>
    <row r="318" spans="1:17">
      <c r="A318" t="s">
        <v>63</v>
      </c>
      <c r="B318" t="s">
        <v>53</v>
      </c>
      <c r="C318" t="s">
        <v>129</v>
      </c>
      <c r="D318" t="s">
        <v>75</v>
      </c>
      <c r="E318" t="s">
        <v>54</v>
      </c>
      <c r="F318" t="s">
        <v>55</v>
      </c>
      <c r="G318" t="s">
        <v>130</v>
      </c>
      <c r="H318">
        <v>0</v>
      </c>
      <c r="I318" t="s">
        <v>21</v>
      </c>
      <c r="J318">
        <v>0</v>
      </c>
      <c r="K318">
        <v>0</v>
      </c>
      <c r="L318">
        <v>0</v>
      </c>
      <c r="M318">
        <v>0</v>
      </c>
      <c r="N318" t="s">
        <v>77</v>
      </c>
      <c r="O318">
        <v>0</v>
      </c>
      <c r="P318" t="s">
        <v>77</v>
      </c>
      <c r="Q318" s="1">
        <v>0</v>
      </c>
    </row>
    <row r="319" spans="1:17">
      <c r="A319" t="s">
        <v>63</v>
      </c>
      <c r="B319" t="s">
        <v>53</v>
      </c>
      <c r="C319" t="s">
        <v>271</v>
      </c>
      <c r="D319" t="s">
        <v>75</v>
      </c>
      <c r="E319" t="s">
        <v>54</v>
      </c>
      <c r="F319" t="s">
        <v>55</v>
      </c>
      <c r="G319" t="s">
        <v>130</v>
      </c>
      <c r="H319">
        <v>0</v>
      </c>
      <c r="I319" t="s">
        <v>21</v>
      </c>
      <c r="J319">
        <v>0</v>
      </c>
      <c r="K319">
        <v>0</v>
      </c>
      <c r="L319">
        <v>0</v>
      </c>
      <c r="M319">
        <v>0</v>
      </c>
      <c r="N319" t="s">
        <v>77</v>
      </c>
      <c r="O319">
        <v>0</v>
      </c>
      <c r="P319">
        <v>3</v>
      </c>
      <c r="Q319" s="1">
        <v>0</v>
      </c>
    </row>
    <row r="320" spans="1:17">
      <c r="A320" t="s">
        <v>63</v>
      </c>
      <c r="B320" t="s">
        <v>53</v>
      </c>
      <c r="C320" t="s">
        <v>312</v>
      </c>
      <c r="D320" t="s">
        <v>75</v>
      </c>
      <c r="E320" t="s">
        <v>54</v>
      </c>
      <c r="F320" t="s">
        <v>55</v>
      </c>
      <c r="G320" t="s">
        <v>130</v>
      </c>
      <c r="H320">
        <v>0</v>
      </c>
      <c r="I320" t="s">
        <v>21</v>
      </c>
      <c r="J320">
        <v>0</v>
      </c>
      <c r="K320">
        <v>0</v>
      </c>
      <c r="L320">
        <v>0</v>
      </c>
      <c r="M320">
        <v>0</v>
      </c>
      <c r="N320" t="s">
        <v>77</v>
      </c>
      <c r="O320">
        <v>0</v>
      </c>
      <c r="P320" t="s">
        <v>77</v>
      </c>
      <c r="Q320" s="1">
        <v>0</v>
      </c>
    </row>
    <row r="321" spans="1:17">
      <c r="A321" t="s">
        <v>63</v>
      </c>
      <c r="B321" t="s">
        <v>53</v>
      </c>
      <c r="C321" t="s">
        <v>174</v>
      </c>
      <c r="D321" t="s">
        <v>82</v>
      </c>
      <c r="E321" t="s">
        <v>54</v>
      </c>
      <c r="F321" t="s">
        <v>55</v>
      </c>
      <c r="G321" t="s">
        <v>130</v>
      </c>
      <c r="H321">
        <v>0</v>
      </c>
      <c r="I321" t="s">
        <v>21</v>
      </c>
      <c r="J321">
        <v>0</v>
      </c>
      <c r="K321">
        <v>0</v>
      </c>
      <c r="L321">
        <v>0</v>
      </c>
      <c r="M321">
        <v>0</v>
      </c>
      <c r="N321" t="s">
        <v>77</v>
      </c>
      <c r="O321">
        <v>0</v>
      </c>
      <c r="P321" t="s">
        <v>77</v>
      </c>
      <c r="Q321" s="1">
        <v>0</v>
      </c>
    </row>
    <row r="322" spans="1:17">
      <c r="A322" t="s">
        <v>63</v>
      </c>
      <c r="B322" t="s">
        <v>53</v>
      </c>
      <c r="C322" t="s">
        <v>282</v>
      </c>
      <c r="D322" t="s">
        <v>75</v>
      </c>
      <c r="E322" t="s">
        <v>54</v>
      </c>
      <c r="F322" t="s">
        <v>55</v>
      </c>
      <c r="G322" t="s">
        <v>130</v>
      </c>
      <c r="H322">
        <v>0</v>
      </c>
      <c r="I322" t="s">
        <v>21</v>
      </c>
      <c r="J322">
        <v>0</v>
      </c>
      <c r="K322">
        <v>0</v>
      </c>
      <c r="L322">
        <v>0</v>
      </c>
      <c r="M322">
        <v>0</v>
      </c>
      <c r="N322" t="s">
        <v>77</v>
      </c>
      <c r="O322">
        <v>0</v>
      </c>
      <c r="P322" t="s">
        <v>77</v>
      </c>
      <c r="Q322" s="1">
        <v>0</v>
      </c>
    </row>
    <row r="323" spans="1:17">
      <c r="A323" t="s">
        <v>63</v>
      </c>
      <c r="B323" t="s">
        <v>53</v>
      </c>
      <c r="C323" t="s">
        <v>209</v>
      </c>
      <c r="D323" t="s">
        <v>79</v>
      </c>
      <c r="E323" t="s">
        <v>54</v>
      </c>
      <c r="F323" t="s">
        <v>55</v>
      </c>
      <c r="G323" t="s">
        <v>130</v>
      </c>
      <c r="H323">
        <v>0</v>
      </c>
      <c r="I323" t="s">
        <v>21</v>
      </c>
      <c r="J323">
        <v>0</v>
      </c>
      <c r="K323">
        <v>0</v>
      </c>
      <c r="L323">
        <v>0</v>
      </c>
      <c r="M323">
        <v>0</v>
      </c>
      <c r="N323" t="s">
        <v>77</v>
      </c>
      <c r="O323">
        <v>0</v>
      </c>
      <c r="P323" t="s">
        <v>77</v>
      </c>
      <c r="Q323" s="1">
        <v>0</v>
      </c>
    </row>
    <row r="324" spans="1:17">
      <c r="A324" t="s">
        <v>63</v>
      </c>
      <c r="B324" t="s">
        <v>53</v>
      </c>
      <c r="C324" t="s">
        <v>303</v>
      </c>
      <c r="D324" t="s">
        <v>75</v>
      </c>
      <c r="E324" t="s">
        <v>54</v>
      </c>
      <c r="F324" t="s">
        <v>55</v>
      </c>
      <c r="G324" t="s">
        <v>130</v>
      </c>
      <c r="H324">
        <v>0</v>
      </c>
      <c r="I324" t="s">
        <v>21</v>
      </c>
      <c r="J324">
        <v>0</v>
      </c>
      <c r="K324">
        <v>7</v>
      </c>
      <c r="L324">
        <v>24.43</v>
      </c>
      <c r="M324">
        <v>97</v>
      </c>
      <c r="N324" s="1">
        <v>7.22E-2</v>
      </c>
      <c r="O324">
        <v>3.49</v>
      </c>
      <c r="P324" t="s">
        <v>77</v>
      </c>
      <c r="Q324" s="1">
        <v>0</v>
      </c>
    </row>
    <row r="325" spans="1:17">
      <c r="A325" t="s">
        <v>63</v>
      </c>
      <c r="B325" t="s">
        <v>53</v>
      </c>
      <c r="C325" t="s">
        <v>290</v>
      </c>
      <c r="D325" t="s">
        <v>82</v>
      </c>
      <c r="E325" t="s">
        <v>54</v>
      </c>
      <c r="F325" t="s">
        <v>55</v>
      </c>
      <c r="G325" t="s">
        <v>130</v>
      </c>
      <c r="H325">
        <v>0</v>
      </c>
      <c r="I325" t="s">
        <v>21</v>
      </c>
      <c r="J325">
        <v>0</v>
      </c>
      <c r="K325">
        <v>0</v>
      </c>
      <c r="L325">
        <v>0</v>
      </c>
      <c r="M325">
        <v>0</v>
      </c>
      <c r="N325" t="s">
        <v>77</v>
      </c>
      <c r="O325">
        <v>0</v>
      </c>
      <c r="P325" t="s">
        <v>77</v>
      </c>
      <c r="Q325" s="1">
        <v>0</v>
      </c>
    </row>
    <row r="326" spans="1:17">
      <c r="A326" t="s">
        <v>63</v>
      </c>
      <c r="B326" t="s">
        <v>53</v>
      </c>
      <c r="C326" t="s">
        <v>163</v>
      </c>
      <c r="D326" t="s">
        <v>82</v>
      </c>
      <c r="E326" t="s">
        <v>54</v>
      </c>
      <c r="F326" t="s">
        <v>55</v>
      </c>
      <c r="G326" t="s">
        <v>130</v>
      </c>
      <c r="H326">
        <v>0</v>
      </c>
      <c r="I326" t="s">
        <v>21</v>
      </c>
      <c r="J326">
        <v>0</v>
      </c>
      <c r="K326">
        <v>0</v>
      </c>
      <c r="L326">
        <v>0</v>
      </c>
      <c r="M326">
        <v>0</v>
      </c>
      <c r="N326" t="s">
        <v>77</v>
      </c>
      <c r="O326">
        <v>0</v>
      </c>
      <c r="P326" t="s">
        <v>77</v>
      </c>
      <c r="Q326" s="1">
        <v>0</v>
      </c>
    </row>
    <row r="327" spans="1:17">
      <c r="A327" t="s">
        <v>63</v>
      </c>
      <c r="B327" t="s">
        <v>53</v>
      </c>
      <c r="C327" t="s">
        <v>243</v>
      </c>
      <c r="D327" t="s">
        <v>75</v>
      </c>
      <c r="E327" t="s">
        <v>54</v>
      </c>
      <c r="F327" t="s">
        <v>55</v>
      </c>
      <c r="G327" t="s">
        <v>130</v>
      </c>
      <c r="H327">
        <v>0</v>
      </c>
      <c r="I327" t="s">
        <v>21</v>
      </c>
      <c r="J327">
        <v>0</v>
      </c>
      <c r="K327">
        <v>0</v>
      </c>
      <c r="L327">
        <v>0</v>
      </c>
      <c r="M327">
        <v>0</v>
      </c>
      <c r="N327" t="s">
        <v>77</v>
      </c>
      <c r="O327">
        <v>0</v>
      </c>
      <c r="P327" t="s">
        <v>77</v>
      </c>
      <c r="Q327" s="1">
        <v>0</v>
      </c>
    </row>
    <row r="328" spans="1:17">
      <c r="A328" t="s">
        <v>63</v>
      </c>
      <c r="B328" t="s">
        <v>53</v>
      </c>
      <c r="C328" t="s">
        <v>183</v>
      </c>
      <c r="D328" t="s">
        <v>75</v>
      </c>
      <c r="E328" t="s">
        <v>54</v>
      </c>
      <c r="F328" t="s">
        <v>55</v>
      </c>
      <c r="G328" t="s">
        <v>130</v>
      </c>
      <c r="H328">
        <v>0</v>
      </c>
      <c r="I328" t="s">
        <v>21</v>
      </c>
      <c r="J328">
        <v>0</v>
      </c>
      <c r="K328">
        <v>0</v>
      </c>
      <c r="L328">
        <v>0</v>
      </c>
      <c r="M328">
        <v>0</v>
      </c>
      <c r="N328" t="s">
        <v>77</v>
      </c>
      <c r="O328">
        <v>0</v>
      </c>
      <c r="P328" t="s">
        <v>77</v>
      </c>
      <c r="Q328" s="1">
        <v>0</v>
      </c>
    </row>
    <row r="329" spans="1:17">
      <c r="A329" t="s">
        <v>63</v>
      </c>
      <c r="B329" t="s">
        <v>53</v>
      </c>
      <c r="C329" t="s">
        <v>132</v>
      </c>
      <c r="D329" t="s">
        <v>75</v>
      </c>
      <c r="E329" t="s">
        <v>54</v>
      </c>
      <c r="F329" t="s">
        <v>55</v>
      </c>
      <c r="G329" t="s">
        <v>130</v>
      </c>
      <c r="H329">
        <v>0</v>
      </c>
      <c r="I329" t="s">
        <v>21</v>
      </c>
      <c r="J329">
        <v>0</v>
      </c>
      <c r="K329">
        <v>0</v>
      </c>
      <c r="L329">
        <v>0</v>
      </c>
      <c r="M329">
        <v>0</v>
      </c>
      <c r="N329" t="s">
        <v>77</v>
      </c>
      <c r="O329">
        <v>0</v>
      </c>
      <c r="P329" t="s">
        <v>77</v>
      </c>
      <c r="Q329" s="1">
        <v>0</v>
      </c>
    </row>
    <row r="330" spans="1:17">
      <c r="A330" t="s">
        <v>63</v>
      </c>
      <c r="B330" t="s">
        <v>53</v>
      </c>
      <c r="C330" t="s">
        <v>188</v>
      </c>
      <c r="D330" t="s">
        <v>75</v>
      </c>
      <c r="E330" t="s">
        <v>54</v>
      </c>
      <c r="F330" t="s">
        <v>55</v>
      </c>
      <c r="G330" t="s">
        <v>130</v>
      </c>
      <c r="H330">
        <v>0</v>
      </c>
      <c r="I330" t="s">
        <v>21</v>
      </c>
      <c r="J330">
        <v>0</v>
      </c>
      <c r="K330">
        <v>0</v>
      </c>
      <c r="L330">
        <v>0</v>
      </c>
      <c r="M330">
        <v>0</v>
      </c>
      <c r="N330" t="s">
        <v>77</v>
      </c>
      <c r="O330">
        <v>0</v>
      </c>
      <c r="P330" t="s">
        <v>77</v>
      </c>
      <c r="Q330" s="1">
        <v>0</v>
      </c>
    </row>
    <row r="331" spans="1:17">
      <c r="A331" t="s">
        <v>63</v>
      </c>
      <c r="B331" t="s">
        <v>53</v>
      </c>
      <c r="C331" t="s">
        <v>307</v>
      </c>
      <c r="D331" t="s">
        <v>75</v>
      </c>
      <c r="E331" t="s">
        <v>54</v>
      </c>
      <c r="F331" t="s">
        <v>55</v>
      </c>
      <c r="G331" t="s">
        <v>130</v>
      </c>
      <c r="H331">
        <v>0</v>
      </c>
      <c r="I331" t="s">
        <v>21</v>
      </c>
      <c r="J331">
        <v>0</v>
      </c>
      <c r="K331">
        <v>0</v>
      </c>
      <c r="L331">
        <v>0</v>
      </c>
      <c r="M331">
        <v>0</v>
      </c>
      <c r="N331" t="s">
        <v>77</v>
      </c>
      <c r="O331">
        <v>0</v>
      </c>
      <c r="P331" t="s">
        <v>77</v>
      </c>
      <c r="Q331" s="1">
        <v>0</v>
      </c>
    </row>
    <row r="332" spans="1:17">
      <c r="A332" t="s">
        <v>63</v>
      </c>
      <c r="B332" t="s">
        <v>53</v>
      </c>
      <c r="C332" t="s">
        <v>216</v>
      </c>
      <c r="D332" t="s">
        <v>75</v>
      </c>
      <c r="E332" t="s">
        <v>54</v>
      </c>
      <c r="F332" t="s">
        <v>55</v>
      </c>
      <c r="G332" t="s">
        <v>130</v>
      </c>
      <c r="H332">
        <v>0</v>
      </c>
      <c r="I332" t="s">
        <v>21</v>
      </c>
      <c r="J332">
        <v>0</v>
      </c>
      <c r="K332">
        <v>0</v>
      </c>
      <c r="L332">
        <v>0</v>
      </c>
      <c r="M332">
        <v>0</v>
      </c>
      <c r="N332" t="s">
        <v>77</v>
      </c>
      <c r="O332">
        <v>0</v>
      </c>
      <c r="P332" t="s">
        <v>77</v>
      </c>
      <c r="Q332" s="1">
        <v>0</v>
      </c>
    </row>
    <row r="333" spans="1:17">
      <c r="A333" t="s">
        <v>63</v>
      </c>
      <c r="B333" t="s">
        <v>53</v>
      </c>
      <c r="C333" t="s">
        <v>255</v>
      </c>
      <c r="D333" t="s">
        <v>82</v>
      </c>
      <c r="E333" t="s">
        <v>54</v>
      </c>
      <c r="F333" t="s">
        <v>55</v>
      </c>
      <c r="G333" t="s">
        <v>130</v>
      </c>
      <c r="H333">
        <v>0</v>
      </c>
      <c r="I333" t="s">
        <v>21</v>
      </c>
      <c r="J333">
        <v>0</v>
      </c>
      <c r="K333">
        <v>0</v>
      </c>
      <c r="L333">
        <v>0</v>
      </c>
      <c r="M333">
        <v>0</v>
      </c>
      <c r="N333" t="s">
        <v>77</v>
      </c>
      <c r="O333">
        <v>0</v>
      </c>
      <c r="P333" t="s">
        <v>77</v>
      </c>
      <c r="Q333" s="1">
        <v>0</v>
      </c>
    </row>
    <row r="334" spans="1:17">
      <c r="A334" t="s">
        <v>63</v>
      </c>
      <c r="B334" t="s">
        <v>53</v>
      </c>
      <c r="C334" t="s">
        <v>206</v>
      </c>
      <c r="D334" t="s">
        <v>75</v>
      </c>
      <c r="E334" t="s">
        <v>54</v>
      </c>
      <c r="F334" t="s">
        <v>55</v>
      </c>
      <c r="G334" t="s">
        <v>130</v>
      </c>
      <c r="H334">
        <v>0</v>
      </c>
      <c r="I334" t="s">
        <v>21</v>
      </c>
      <c r="J334">
        <v>0</v>
      </c>
      <c r="K334">
        <v>0</v>
      </c>
      <c r="L334">
        <v>0</v>
      </c>
      <c r="M334">
        <v>0</v>
      </c>
      <c r="N334" t="s">
        <v>77</v>
      </c>
      <c r="O334">
        <v>0</v>
      </c>
      <c r="P334" t="s">
        <v>77</v>
      </c>
      <c r="Q334" s="1">
        <v>0</v>
      </c>
    </row>
    <row r="335" spans="1:17">
      <c r="A335" t="s">
        <v>63</v>
      </c>
      <c r="B335" t="s">
        <v>53</v>
      </c>
      <c r="C335" t="s">
        <v>281</v>
      </c>
      <c r="D335" t="s">
        <v>75</v>
      </c>
      <c r="E335" t="s">
        <v>54</v>
      </c>
      <c r="F335" t="s">
        <v>55</v>
      </c>
      <c r="G335" t="s">
        <v>130</v>
      </c>
      <c r="H335">
        <v>0</v>
      </c>
      <c r="I335" t="s">
        <v>21</v>
      </c>
      <c r="J335">
        <v>0</v>
      </c>
      <c r="K335">
        <v>0</v>
      </c>
      <c r="L335">
        <v>0</v>
      </c>
      <c r="M335">
        <v>0</v>
      </c>
      <c r="N335" t="s">
        <v>77</v>
      </c>
      <c r="O335">
        <v>0</v>
      </c>
      <c r="P335" t="s">
        <v>77</v>
      </c>
      <c r="Q335" s="1">
        <v>0</v>
      </c>
    </row>
    <row r="336" spans="1:17">
      <c r="A336" t="s">
        <v>63</v>
      </c>
      <c r="B336" t="s">
        <v>53</v>
      </c>
      <c r="C336" t="s">
        <v>297</v>
      </c>
      <c r="D336" t="s">
        <v>79</v>
      </c>
      <c r="E336" t="s">
        <v>54</v>
      </c>
      <c r="F336" t="s">
        <v>55</v>
      </c>
      <c r="G336" t="s">
        <v>130</v>
      </c>
      <c r="H336">
        <v>0</v>
      </c>
      <c r="I336" t="s">
        <v>21</v>
      </c>
      <c r="J336">
        <v>0</v>
      </c>
      <c r="K336">
        <v>0</v>
      </c>
      <c r="L336">
        <v>0</v>
      </c>
      <c r="M336">
        <v>0</v>
      </c>
      <c r="N336" t="s">
        <v>77</v>
      </c>
      <c r="O336">
        <v>0</v>
      </c>
      <c r="P336">
        <v>5</v>
      </c>
      <c r="Q336" s="1">
        <v>0</v>
      </c>
    </row>
    <row r="337" spans="1:17">
      <c r="A337" t="s">
        <v>63</v>
      </c>
      <c r="B337" t="s">
        <v>53</v>
      </c>
      <c r="C337" t="s">
        <v>289</v>
      </c>
      <c r="D337" t="s">
        <v>75</v>
      </c>
      <c r="E337" t="s">
        <v>54</v>
      </c>
      <c r="F337" t="s">
        <v>55</v>
      </c>
      <c r="G337" t="s">
        <v>130</v>
      </c>
      <c r="H337">
        <v>0</v>
      </c>
      <c r="I337" t="s">
        <v>21</v>
      </c>
      <c r="J337">
        <v>0</v>
      </c>
      <c r="K337">
        <v>0</v>
      </c>
      <c r="L337">
        <v>0</v>
      </c>
      <c r="M337">
        <v>2</v>
      </c>
      <c r="N337" s="1">
        <v>0</v>
      </c>
      <c r="O337">
        <v>0</v>
      </c>
      <c r="P337" t="s">
        <v>77</v>
      </c>
      <c r="Q337" s="1">
        <v>0</v>
      </c>
    </row>
    <row r="338" spans="1:17">
      <c r="A338" t="s">
        <v>63</v>
      </c>
      <c r="B338" t="s">
        <v>53</v>
      </c>
      <c r="C338" t="s">
        <v>207</v>
      </c>
      <c r="D338" t="s">
        <v>75</v>
      </c>
      <c r="E338" t="s">
        <v>54</v>
      </c>
      <c r="F338" t="s">
        <v>55</v>
      </c>
      <c r="G338" t="s">
        <v>130</v>
      </c>
      <c r="H338">
        <v>0</v>
      </c>
      <c r="I338" t="s">
        <v>21</v>
      </c>
      <c r="J338">
        <v>0</v>
      </c>
      <c r="K338">
        <v>0</v>
      </c>
      <c r="L338">
        <v>0</v>
      </c>
      <c r="M338">
        <v>0</v>
      </c>
      <c r="N338" t="s">
        <v>77</v>
      </c>
      <c r="O338">
        <v>0</v>
      </c>
      <c r="P338" t="s">
        <v>77</v>
      </c>
      <c r="Q338" s="1">
        <v>0</v>
      </c>
    </row>
    <row r="339" spans="1:17">
      <c r="A339" t="s">
        <v>63</v>
      </c>
      <c r="B339" t="s">
        <v>53</v>
      </c>
      <c r="C339" t="s">
        <v>96</v>
      </c>
      <c r="D339" t="s">
        <v>75</v>
      </c>
      <c r="E339" t="s">
        <v>54</v>
      </c>
      <c r="F339" t="s">
        <v>55</v>
      </c>
      <c r="G339" t="s">
        <v>130</v>
      </c>
      <c r="H339">
        <v>0</v>
      </c>
      <c r="I339" t="s">
        <v>21</v>
      </c>
      <c r="J339">
        <v>0</v>
      </c>
      <c r="K339">
        <v>0</v>
      </c>
      <c r="L339">
        <v>0</v>
      </c>
      <c r="M339">
        <v>3</v>
      </c>
      <c r="N339" s="1">
        <v>0</v>
      </c>
      <c r="O339">
        <v>0</v>
      </c>
      <c r="P339" t="s">
        <v>77</v>
      </c>
      <c r="Q339" s="1">
        <v>0</v>
      </c>
    </row>
    <row r="340" spans="1:17">
      <c r="A340" t="s">
        <v>63</v>
      </c>
      <c r="B340" t="s">
        <v>53</v>
      </c>
      <c r="C340" t="s">
        <v>238</v>
      </c>
      <c r="D340" t="s">
        <v>75</v>
      </c>
      <c r="E340" t="s">
        <v>54</v>
      </c>
      <c r="F340" t="s">
        <v>55</v>
      </c>
      <c r="G340" t="s">
        <v>130</v>
      </c>
      <c r="H340">
        <v>1</v>
      </c>
      <c r="I340" t="s">
        <v>21</v>
      </c>
      <c r="J340">
        <v>26.05</v>
      </c>
      <c r="K340">
        <v>7</v>
      </c>
      <c r="L340">
        <v>26.05</v>
      </c>
      <c r="M340">
        <v>118</v>
      </c>
      <c r="N340" s="1">
        <v>5.9299999999999999E-2</v>
      </c>
      <c r="O340">
        <v>3.72</v>
      </c>
      <c r="P340" t="s">
        <v>77</v>
      </c>
      <c r="Q340" s="1">
        <v>0.1429</v>
      </c>
    </row>
    <row r="341" spans="1:17">
      <c r="A341" t="s">
        <v>63</v>
      </c>
      <c r="B341" t="s">
        <v>53</v>
      </c>
      <c r="C341" t="s">
        <v>279</v>
      </c>
      <c r="D341" t="s">
        <v>75</v>
      </c>
      <c r="E341" t="s">
        <v>54</v>
      </c>
      <c r="F341" t="s">
        <v>55</v>
      </c>
      <c r="G341" t="s">
        <v>130</v>
      </c>
      <c r="H341">
        <v>0</v>
      </c>
      <c r="I341" t="s">
        <v>21</v>
      </c>
      <c r="J341">
        <v>0</v>
      </c>
      <c r="K341">
        <v>0</v>
      </c>
      <c r="L341">
        <v>0</v>
      </c>
      <c r="M341">
        <v>0</v>
      </c>
      <c r="N341" t="s">
        <v>77</v>
      </c>
      <c r="O341">
        <v>0</v>
      </c>
      <c r="P341" t="s">
        <v>77</v>
      </c>
      <c r="Q341" s="1">
        <v>0</v>
      </c>
    </row>
    <row r="342" spans="1:17">
      <c r="A342" t="s">
        <v>63</v>
      </c>
      <c r="B342" t="s">
        <v>53</v>
      </c>
      <c r="C342" t="s">
        <v>167</v>
      </c>
      <c r="D342" t="s">
        <v>82</v>
      </c>
      <c r="E342" t="s">
        <v>54</v>
      </c>
      <c r="F342" t="s">
        <v>55</v>
      </c>
      <c r="G342" t="s">
        <v>130</v>
      </c>
      <c r="H342">
        <v>0</v>
      </c>
      <c r="I342" t="s">
        <v>21</v>
      </c>
      <c r="J342">
        <v>0</v>
      </c>
      <c r="K342">
        <v>0</v>
      </c>
      <c r="L342">
        <v>0</v>
      </c>
      <c r="M342">
        <v>0</v>
      </c>
      <c r="N342" t="s">
        <v>77</v>
      </c>
      <c r="O342">
        <v>0</v>
      </c>
      <c r="P342" t="s">
        <v>77</v>
      </c>
      <c r="Q342" s="1">
        <v>0</v>
      </c>
    </row>
    <row r="343" spans="1:17">
      <c r="A343" t="s">
        <v>63</v>
      </c>
      <c r="B343" t="s">
        <v>53</v>
      </c>
      <c r="C343" t="s">
        <v>278</v>
      </c>
      <c r="D343" t="s">
        <v>75</v>
      </c>
      <c r="E343" t="s">
        <v>54</v>
      </c>
      <c r="F343" t="s">
        <v>55</v>
      </c>
      <c r="G343" t="s">
        <v>130</v>
      </c>
      <c r="H343">
        <v>0</v>
      </c>
      <c r="I343" t="s">
        <v>21</v>
      </c>
      <c r="J343">
        <v>0</v>
      </c>
      <c r="K343">
        <v>0</v>
      </c>
      <c r="L343">
        <v>0</v>
      </c>
      <c r="M343">
        <v>0</v>
      </c>
      <c r="N343" t="s">
        <v>77</v>
      </c>
      <c r="O343">
        <v>0</v>
      </c>
      <c r="P343" t="s">
        <v>77</v>
      </c>
      <c r="Q343" s="1">
        <v>0</v>
      </c>
    </row>
    <row r="344" spans="1:17">
      <c r="A344" t="s">
        <v>63</v>
      </c>
      <c r="B344" t="s">
        <v>53</v>
      </c>
      <c r="C344" t="s">
        <v>298</v>
      </c>
      <c r="D344" t="s">
        <v>75</v>
      </c>
      <c r="E344" t="s">
        <v>54</v>
      </c>
      <c r="F344" t="s">
        <v>55</v>
      </c>
      <c r="G344" t="s">
        <v>130</v>
      </c>
      <c r="H344">
        <v>0</v>
      </c>
      <c r="I344" t="s">
        <v>21</v>
      </c>
      <c r="J344">
        <v>0</v>
      </c>
      <c r="K344">
        <v>0</v>
      </c>
      <c r="L344">
        <v>0</v>
      </c>
      <c r="M344">
        <v>0</v>
      </c>
      <c r="N344" t="s">
        <v>77</v>
      </c>
      <c r="O344">
        <v>0</v>
      </c>
      <c r="P344" t="s">
        <v>77</v>
      </c>
      <c r="Q344" s="1">
        <v>0</v>
      </c>
    </row>
    <row r="345" spans="1:17">
      <c r="A345" t="s">
        <v>63</v>
      </c>
      <c r="B345" t="s">
        <v>53</v>
      </c>
      <c r="C345" t="s">
        <v>212</v>
      </c>
      <c r="D345" t="s">
        <v>75</v>
      </c>
      <c r="E345" t="s">
        <v>54</v>
      </c>
      <c r="F345" t="s">
        <v>55</v>
      </c>
      <c r="G345" t="s">
        <v>130</v>
      </c>
      <c r="H345">
        <v>0</v>
      </c>
      <c r="I345" t="s">
        <v>21</v>
      </c>
      <c r="J345">
        <v>0</v>
      </c>
      <c r="K345">
        <v>0</v>
      </c>
      <c r="L345">
        <v>0</v>
      </c>
      <c r="M345">
        <v>0</v>
      </c>
      <c r="N345" t="s">
        <v>77</v>
      </c>
      <c r="O345">
        <v>0</v>
      </c>
      <c r="P345" t="s">
        <v>77</v>
      </c>
      <c r="Q345" s="1">
        <v>0</v>
      </c>
    </row>
    <row r="346" spans="1:17">
      <c r="A346" t="s">
        <v>63</v>
      </c>
      <c r="B346" t="s">
        <v>53</v>
      </c>
      <c r="C346" t="s">
        <v>287</v>
      </c>
      <c r="D346" t="s">
        <v>75</v>
      </c>
      <c r="E346" t="s">
        <v>54</v>
      </c>
      <c r="F346" t="s">
        <v>55</v>
      </c>
      <c r="G346" t="s">
        <v>130</v>
      </c>
      <c r="H346">
        <v>0</v>
      </c>
      <c r="I346" t="s">
        <v>21</v>
      </c>
      <c r="J346">
        <v>0</v>
      </c>
      <c r="K346">
        <v>0</v>
      </c>
      <c r="L346">
        <v>0</v>
      </c>
      <c r="M346">
        <v>0</v>
      </c>
      <c r="N346" t="s">
        <v>77</v>
      </c>
      <c r="O346">
        <v>0</v>
      </c>
      <c r="P346" t="s">
        <v>77</v>
      </c>
      <c r="Q346" s="1">
        <v>0</v>
      </c>
    </row>
    <row r="347" spans="1:17">
      <c r="A347" t="s">
        <v>63</v>
      </c>
      <c r="B347" t="s">
        <v>53</v>
      </c>
      <c r="C347" t="s">
        <v>198</v>
      </c>
      <c r="D347" t="s">
        <v>82</v>
      </c>
      <c r="E347" t="s">
        <v>54</v>
      </c>
      <c r="F347" t="s">
        <v>55</v>
      </c>
      <c r="G347" t="s">
        <v>130</v>
      </c>
      <c r="H347">
        <v>0</v>
      </c>
      <c r="I347" t="s">
        <v>21</v>
      </c>
      <c r="J347">
        <v>0</v>
      </c>
      <c r="K347">
        <v>0</v>
      </c>
      <c r="L347">
        <v>0</v>
      </c>
      <c r="M347">
        <v>0</v>
      </c>
      <c r="N347" t="s">
        <v>77</v>
      </c>
      <c r="O347">
        <v>0</v>
      </c>
      <c r="P347" t="s">
        <v>77</v>
      </c>
      <c r="Q347" s="1">
        <v>0</v>
      </c>
    </row>
    <row r="348" spans="1:17">
      <c r="A348" t="s">
        <v>63</v>
      </c>
      <c r="B348" t="s">
        <v>53</v>
      </c>
      <c r="C348" t="s">
        <v>168</v>
      </c>
      <c r="D348" t="s">
        <v>75</v>
      </c>
      <c r="E348" t="s">
        <v>54</v>
      </c>
      <c r="F348" t="s">
        <v>55</v>
      </c>
      <c r="G348" t="s">
        <v>130</v>
      </c>
      <c r="H348">
        <v>0</v>
      </c>
      <c r="I348" t="s">
        <v>21</v>
      </c>
      <c r="J348">
        <v>0</v>
      </c>
      <c r="K348">
        <v>0</v>
      </c>
      <c r="L348">
        <v>0</v>
      </c>
      <c r="M348">
        <v>0</v>
      </c>
      <c r="N348" t="s">
        <v>77</v>
      </c>
      <c r="O348">
        <v>0</v>
      </c>
      <c r="P348" t="s">
        <v>77</v>
      </c>
      <c r="Q348" s="1">
        <v>0</v>
      </c>
    </row>
    <row r="349" spans="1:17">
      <c r="A349" t="s">
        <v>63</v>
      </c>
      <c r="B349" t="s">
        <v>53</v>
      </c>
      <c r="C349" t="s">
        <v>202</v>
      </c>
      <c r="D349" t="s">
        <v>75</v>
      </c>
      <c r="E349" t="s">
        <v>54</v>
      </c>
      <c r="F349" t="s">
        <v>55</v>
      </c>
      <c r="G349" t="s">
        <v>130</v>
      </c>
      <c r="H349">
        <v>0</v>
      </c>
      <c r="I349" t="s">
        <v>21</v>
      </c>
      <c r="J349">
        <v>0</v>
      </c>
      <c r="K349">
        <v>0</v>
      </c>
      <c r="L349">
        <v>0</v>
      </c>
      <c r="M349">
        <v>0</v>
      </c>
      <c r="N349" t="s">
        <v>77</v>
      </c>
      <c r="O349">
        <v>0</v>
      </c>
      <c r="P349" t="s">
        <v>77</v>
      </c>
      <c r="Q349" s="1">
        <v>0</v>
      </c>
    </row>
    <row r="350" spans="1:17">
      <c r="A350" t="s">
        <v>63</v>
      </c>
      <c r="B350" t="s">
        <v>53</v>
      </c>
      <c r="C350" t="s">
        <v>199</v>
      </c>
      <c r="D350" t="s">
        <v>75</v>
      </c>
      <c r="E350" t="s">
        <v>54</v>
      </c>
      <c r="F350" t="s">
        <v>55</v>
      </c>
      <c r="G350" t="s">
        <v>130</v>
      </c>
      <c r="H350">
        <v>0</v>
      </c>
      <c r="I350" t="s">
        <v>21</v>
      </c>
      <c r="J350">
        <v>0</v>
      </c>
      <c r="K350">
        <v>0</v>
      </c>
      <c r="L350">
        <v>0</v>
      </c>
      <c r="M350">
        <v>0</v>
      </c>
      <c r="N350" t="s">
        <v>77</v>
      </c>
      <c r="O350">
        <v>0</v>
      </c>
      <c r="P350" t="s">
        <v>77</v>
      </c>
      <c r="Q350" s="1">
        <v>0</v>
      </c>
    </row>
    <row r="351" spans="1:17">
      <c r="A351" t="s">
        <v>63</v>
      </c>
      <c r="B351" t="s">
        <v>53</v>
      </c>
      <c r="C351" t="s">
        <v>321</v>
      </c>
      <c r="D351" t="s">
        <v>75</v>
      </c>
      <c r="E351" t="s">
        <v>54</v>
      </c>
      <c r="F351" t="s">
        <v>55</v>
      </c>
      <c r="G351" t="s">
        <v>130</v>
      </c>
      <c r="H351">
        <v>0</v>
      </c>
      <c r="I351" t="s">
        <v>21</v>
      </c>
      <c r="J351">
        <v>0</v>
      </c>
      <c r="K351">
        <v>0</v>
      </c>
      <c r="L351">
        <v>0</v>
      </c>
      <c r="M351">
        <v>0</v>
      </c>
      <c r="N351" t="s">
        <v>77</v>
      </c>
      <c r="O351">
        <v>0</v>
      </c>
      <c r="P351" t="s">
        <v>77</v>
      </c>
      <c r="Q351" s="1">
        <v>0</v>
      </c>
    </row>
    <row r="352" spans="1:17">
      <c r="A352" t="s">
        <v>63</v>
      </c>
      <c r="B352" t="s">
        <v>53</v>
      </c>
      <c r="C352" t="s">
        <v>211</v>
      </c>
      <c r="D352" t="s">
        <v>75</v>
      </c>
      <c r="E352" t="s">
        <v>54</v>
      </c>
      <c r="F352" t="s">
        <v>55</v>
      </c>
      <c r="G352" t="s">
        <v>130</v>
      </c>
      <c r="H352">
        <v>0</v>
      </c>
      <c r="I352" t="s">
        <v>21</v>
      </c>
      <c r="J352">
        <v>0</v>
      </c>
      <c r="K352">
        <v>0</v>
      </c>
      <c r="L352">
        <v>0</v>
      </c>
      <c r="M352">
        <v>0</v>
      </c>
      <c r="N352" t="s">
        <v>77</v>
      </c>
      <c r="O352">
        <v>0</v>
      </c>
      <c r="P352" t="s">
        <v>77</v>
      </c>
      <c r="Q352" s="1">
        <v>0</v>
      </c>
    </row>
    <row r="353" spans="1:17">
      <c r="A353" t="s">
        <v>63</v>
      </c>
      <c r="B353" t="s">
        <v>53</v>
      </c>
      <c r="C353" t="s">
        <v>172</v>
      </c>
      <c r="D353" t="s">
        <v>75</v>
      </c>
      <c r="E353" t="s">
        <v>54</v>
      </c>
      <c r="F353" t="s">
        <v>55</v>
      </c>
      <c r="G353" t="s">
        <v>130</v>
      </c>
      <c r="H353">
        <v>0</v>
      </c>
      <c r="I353" t="s">
        <v>21</v>
      </c>
      <c r="J353">
        <v>0</v>
      </c>
      <c r="K353">
        <v>0</v>
      </c>
      <c r="L353">
        <v>0</v>
      </c>
      <c r="M353">
        <v>0</v>
      </c>
      <c r="N353" t="s">
        <v>77</v>
      </c>
      <c r="O353">
        <v>0</v>
      </c>
      <c r="P353" t="s">
        <v>77</v>
      </c>
      <c r="Q353" s="1">
        <v>0</v>
      </c>
    </row>
    <row r="354" spans="1:17">
      <c r="A354" t="s">
        <v>63</v>
      </c>
      <c r="B354" t="s">
        <v>53</v>
      </c>
      <c r="C354" t="s">
        <v>294</v>
      </c>
      <c r="D354" t="s">
        <v>75</v>
      </c>
      <c r="E354" t="s">
        <v>54</v>
      </c>
      <c r="F354" t="s">
        <v>55</v>
      </c>
      <c r="G354" t="s">
        <v>130</v>
      </c>
      <c r="H354">
        <v>0</v>
      </c>
      <c r="I354" t="s">
        <v>21</v>
      </c>
      <c r="J354">
        <v>0</v>
      </c>
      <c r="K354">
        <v>5</v>
      </c>
      <c r="L354">
        <v>9.56</v>
      </c>
      <c r="M354">
        <v>35</v>
      </c>
      <c r="N354" s="1">
        <v>0.1429</v>
      </c>
      <c r="O354">
        <v>1.91</v>
      </c>
      <c r="P354" t="s">
        <v>77</v>
      </c>
      <c r="Q354" s="1">
        <v>0</v>
      </c>
    </row>
    <row r="355" spans="1:17">
      <c r="A355" t="s">
        <v>63</v>
      </c>
      <c r="B355" t="s">
        <v>53</v>
      </c>
      <c r="C355" t="s">
        <v>239</v>
      </c>
      <c r="D355" t="s">
        <v>75</v>
      </c>
      <c r="E355" t="s">
        <v>54</v>
      </c>
      <c r="F355" t="s">
        <v>55</v>
      </c>
      <c r="G355" t="s">
        <v>130</v>
      </c>
      <c r="H355">
        <v>0</v>
      </c>
      <c r="I355" t="s">
        <v>21</v>
      </c>
      <c r="J355">
        <v>0</v>
      </c>
      <c r="K355">
        <v>0</v>
      </c>
      <c r="L355">
        <v>0</v>
      </c>
      <c r="M355">
        <v>0</v>
      </c>
      <c r="N355" t="s">
        <v>77</v>
      </c>
      <c r="O355">
        <v>0</v>
      </c>
      <c r="P355" t="s">
        <v>77</v>
      </c>
      <c r="Q355" s="1">
        <v>0</v>
      </c>
    </row>
    <row r="356" spans="1:17">
      <c r="A356" t="s">
        <v>63</v>
      </c>
      <c r="B356" t="s">
        <v>53</v>
      </c>
      <c r="C356" t="s">
        <v>164</v>
      </c>
      <c r="D356" t="s">
        <v>75</v>
      </c>
      <c r="E356" t="s">
        <v>54</v>
      </c>
      <c r="F356" t="s">
        <v>55</v>
      </c>
      <c r="G356" t="s">
        <v>130</v>
      </c>
      <c r="H356">
        <v>0</v>
      </c>
      <c r="I356" t="s">
        <v>21</v>
      </c>
      <c r="J356">
        <v>0</v>
      </c>
      <c r="K356">
        <v>0</v>
      </c>
      <c r="L356">
        <v>0</v>
      </c>
      <c r="M356">
        <v>0</v>
      </c>
      <c r="N356" t="s">
        <v>77</v>
      </c>
      <c r="O356">
        <v>0</v>
      </c>
      <c r="P356" t="s">
        <v>77</v>
      </c>
      <c r="Q356" s="1">
        <v>0</v>
      </c>
    </row>
    <row r="357" spans="1:17">
      <c r="A357" t="s">
        <v>63</v>
      </c>
      <c r="B357" t="s">
        <v>53</v>
      </c>
      <c r="C357" t="s">
        <v>328</v>
      </c>
      <c r="D357" t="s">
        <v>75</v>
      </c>
      <c r="E357" t="s">
        <v>54</v>
      </c>
      <c r="F357" t="s">
        <v>55</v>
      </c>
      <c r="G357" t="s">
        <v>130</v>
      </c>
      <c r="H357">
        <v>0</v>
      </c>
      <c r="I357" t="s">
        <v>21</v>
      </c>
      <c r="J357">
        <v>0</v>
      </c>
      <c r="K357">
        <v>0</v>
      </c>
      <c r="L357">
        <v>0</v>
      </c>
      <c r="M357">
        <v>0</v>
      </c>
      <c r="N357" t="s">
        <v>77</v>
      </c>
      <c r="O357">
        <v>0</v>
      </c>
      <c r="P357" t="s">
        <v>77</v>
      </c>
      <c r="Q357" s="1">
        <v>0</v>
      </c>
    </row>
    <row r="358" spans="1:17">
      <c r="A358" t="s">
        <v>63</v>
      </c>
      <c r="B358" t="s">
        <v>53</v>
      </c>
      <c r="C358" t="s">
        <v>284</v>
      </c>
      <c r="D358" t="s">
        <v>75</v>
      </c>
      <c r="E358" t="s">
        <v>54</v>
      </c>
      <c r="F358" t="s">
        <v>55</v>
      </c>
      <c r="G358" t="s">
        <v>130</v>
      </c>
      <c r="H358">
        <v>0</v>
      </c>
      <c r="I358" t="s">
        <v>21</v>
      </c>
      <c r="J358">
        <v>0</v>
      </c>
      <c r="K358">
        <v>0</v>
      </c>
      <c r="L358">
        <v>0</v>
      </c>
      <c r="M358">
        <v>0</v>
      </c>
      <c r="N358" t="s">
        <v>77</v>
      </c>
      <c r="O358">
        <v>0</v>
      </c>
      <c r="P358" t="s">
        <v>77</v>
      </c>
      <c r="Q358" s="1">
        <v>0</v>
      </c>
    </row>
    <row r="359" spans="1:17">
      <c r="A359" t="s">
        <v>63</v>
      </c>
      <c r="B359" t="s">
        <v>53</v>
      </c>
      <c r="C359" t="s">
        <v>295</v>
      </c>
      <c r="D359" t="s">
        <v>75</v>
      </c>
      <c r="E359" t="s">
        <v>54</v>
      </c>
      <c r="F359" t="s">
        <v>55</v>
      </c>
      <c r="G359" t="s">
        <v>130</v>
      </c>
      <c r="H359">
        <v>0</v>
      </c>
      <c r="I359" t="s">
        <v>21</v>
      </c>
      <c r="J359">
        <v>0</v>
      </c>
      <c r="K359">
        <v>0</v>
      </c>
      <c r="L359">
        <v>0</v>
      </c>
      <c r="M359">
        <v>0</v>
      </c>
      <c r="N359" t="s">
        <v>77</v>
      </c>
      <c r="O359">
        <v>0</v>
      </c>
      <c r="P359" t="s">
        <v>77</v>
      </c>
      <c r="Q359" s="1">
        <v>0</v>
      </c>
    </row>
    <row r="360" spans="1:17">
      <c r="A360" t="s">
        <v>63</v>
      </c>
      <c r="B360" t="s">
        <v>53</v>
      </c>
      <c r="C360" t="s">
        <v>327</v>
      </c>
      <c r="D360" t="s">
        <v>82</v>
      </c>
      <c r="E360" t="s">
        <v>54</v>
      </c>
      <c r="F360" t="s">
        <v>55</v>
      </c>
      <c r="G360" t="s">
        <v>130</v>
      </c>
      <c r="H360">
        <v>0</v>
      </c>
      <c r="I360" t="s">
        <v>21</v>
      </c>
      <c r="J360">
        <v>0</v>
      </c>
      <c r="K360">
        <v>1</v>
      </c>
      <c r="L360">
        <v>5.74</v>
      </c>
      <c r="M360">
        <v>2</v>
      </c>
      <c r="N360" s="1">
        <v>0.5</v>
      </c>
      <c r="O360">
        <v>5.74</v>
      </c>
      <c r="P360" t="s">
        <v>77</v>
      </c>
      <c r="Q360" s="1">
        <v>0</v>
      </c>
    </row>
    <row r="361" spans="1:17">
      <c r="A361" t="s">
        <v>63</v>
      </c>
      <c r="B361" t="s">
        <v>53</v>
      </c>
      <c r="C361" t="s">
        <v>269</v>
      </c>
      <c r="D361" t="s">
        <v>75</v>
      </c>
      <c r="E361" t="s">
        <v>54</v>
      </c>
      <c r="F361" t="s">
        <v>55</v>
      </c>
      <c r="G361" t="s">
        <v>130</v>
      </c>
      <c r="H361">
        <v>0</v>
      </c>
      <c r="I361" t="s">
        <v>21</v>
      </c>
      <c r="J361">
        <v>0</v>
      </c>
      <c r="K361">
        <v>1</v>
      </c>
      <c r="L361">
        <v>3.77</v>
      </c>
      <c r="M361">
        <v>9</v>
      </c>
      <c r="N361" s="1">
        <v>0.1111</v>
      </c>
      <c r="O361">
        <v>3.77</v>
      </c>
      <c r="P361">
        <v>3</v>
      </c>
      <c r="Q361" s="1">
        <v>0</v>
      </c>
    </row>
    <row r="362" spans="1:17">
      <c r="A362" t="s">
        <v>63</v>
      </c>
      <c r="B362" t="s">
        <v>53</v>
      </c>
      <c r="C362" t="s">
        <v>331</v>
      </c>
      <c r="D362" t="s">
        <v>79</v>
      </c>
      <c r="E362" t="s">
        <v>54</v>
      </c>
      <c r="F362" t="s">
        <v>55</v>
      </c>
      <c r="G362" t="s">
        <v>130</v>
      </c>
      <c r="H362">
        <v>0</v>
      </c>
      <c r="I362" t="s">
        <v>21</v>
      </c>
      <c r="J362">
        <v>0</v>
      </c>
      <c r="K362">
        <v>0</v>
      </c>
      <c r="L362">
        <v>0</v>
      </c>
      <c r="M362">
        <v>0</v>
      </c>
      <c r="N362" t="s">
        <v>77</v>
      </c>
      <c r="O362">
        <v>0</v>
      </c>
      <c r="P362" t="s">
        <v>77</v>
      </c>
      <c r="Q362" s="1">
        <v>0</v>
      </c>
    </row>
    <row r="363" spans="1:17">
      <c r="A363" t="s">
        <v>63</v>
      </c>
      <c r="B363" t="s">
        <v>53</v>
      </c>
      <c r="C363" t="s">
        <v>184</v>
      </c>
      <c r="D363" t="s">
        <v>75</v>
      </c>
      <c r="E363" t="s">
        <v>54</v>
      </c>
      <c r="F363" t="s">
        <v>55</v>
      </c>
      <c r="G363" t="s">
        <v>130</v>
      </c>
      <c r="H363">
        <v>0</v>
      </c>
      <c r="I363" t="s">
        <v>21</v>
      </c>
      <c r="J363">
        <v>0</v>
      </c>
      <c r="K363">
        <v>0</v>
      </c>
      <c r="L363">
        <v>0</v>
      </c>
      <c r="M363">
        <v>0</v>
      </c>
      <c r="N363" t="s">
        <v>77</v>
      </c>
      <c r="O363">
        <v>0</v>
      </c>
      <c r="P363">
        <v>8</v>
      </c>
      <c r="Q363" s="1">
        <v>0</v>
      </c>
    </row>
    <row r="364" spans="1:17">
      <c r="A364" t="s">
        <v>63</v>
      </c>
      <c r="B364" t="s">
        <v>53</v>
      </c>
      <c r="C364" t="s">
        <v>146</v>
      </c>
      <c r="D364" t="s">
        <v>75</v>
      </c>
      <c r="E364" t="s">
        <v>54</v>
      </c>
      <c r="F364" t="s">
        <v>55</v>
      </c>
      <c r="G364" t="s">
        <v>130</v>
      </c>
      <c r="H364">
        <v>0</v>
      </c>
      <c r="I364" t="s">
        <v>21</v>
      </c>
      <c r="J364">
        <v>0</v>
      </c>
      <c r="K364">
        <v>0</v>
      </c>
      <c r="L364">
        <v>0</v>
      </c>
      <c r="M364">
        <v>0</v>
      </c>
      <c r="N364" t="s">
        <v>77</v>
      </c>
      <c r="O364">
        <v>0</v>
      </c>
      <c r="P364" t="s">
        <v>77</v>
      </c>
      <c r="Q364" s="1">
        <v>0</v>
      </c>
    </row>
    <row r="365" spans="1:17">
      <c r="A365" t="s">
        <v>63</v>
      </c>
      <c r="B365" t="s">
        <v>53</v>
      </c>
      <c r="C365" t="s">
        <v>320</v>
      </c>
      <c r="D365" t="s">
        <v>75</v>
      </c>
      <c r="E365" t="s">
        <v>54</v>
      </c>
      <c r="F365" t="s">
        <v>55</v>
      </c>
      <c r="G365" t="s">
        <v>130</v>
      </c>
      <c r="H365">
        <v>0</v>
      </c>
      <c r="I365" t="s">
        <v>21</v>
      </c>
      <c r="J365">
        <v>0</v>
      </c>
      <c r="K365">
        <v>0</v>
      </c>
      <c r="L365">
        <v>0</v>
      </c>
      <c r="M365">
        <v>0</v>
      </c>
      <c r="N365" t="s">
        <v>77</v>
      </c>
      <c r="O365">
        <v>0</v>
      </c>
      <c r="P365" t="s">
        <v>77</v>
      </c>
      <c r="Q365" s="1">
        <v>0</v>
      </c>
    </row>
    <row r="366" spans="1:17">
      <c r="A366" t="s">
        <v>63</v>
      </c>
      <c r="B366" t="s">
        <v>18</v>
      </c>
      <c r="C366" t="s">
        <v>152</v>
      </c>
      <c r="D366" t="s">
        <v>75</v>
      </c>
      <c r="E366" t="s">
        <v>54</v>
      </c>
      <c r="F366" t="s">
        <v>18</v>
      </c>
      <c r="G366" t="s">
        <v>153</v>
      </c>
      <c r="H366">
        <v>0</v>
      </c>
      <c r="I366" t="s">
        <v>21</v>
      </c>
      <c r="J366">
        <v>0</v>
      </c>
      <c r="K366">
        <v>0</v>
      </c>
      <c r="L366">
        <v>0</v>
      </c>
      <c r="M366">
        <v>0</v>
      </c>
      <c r="N366" t="s">
        <v>77</v>
      </c>
      <c r="O366">
        <v>0</v>
      </c>
      <c r="P366" t="s">
        <v>77</v>
      </c>
      <c r="Q366" s="1">
        <v>0</v>
      </c>
    </row>
    <row r="367" spans="1:17">
      <c r="A367" t="s">
        <v>63</v>
      </c>
      <c r="B367" t="s">
        <v>53</v>
      </c>
      <c r="C367" t="s">
        <v>135</v>
      </c>
      <c r="D367" t="s">
        <v>75</v>
      </c>
      <c r="E367" t="s">
        <v>54</v>
      </c>
      <c r="F367" t="s">
        <v>55</v>
      </c>
      <c r="G367" t="s">
        <v>130</v>
      </c>
      <c r="H367">
        <v>0</v>
      </c>
      <c r="I367" t="s">
        <v>21</v>
      </c>
      <c r="J367">
        <v>0</v>
      </c>
      <c r="K367">
        <v>0</v>
      </c>
      <c r="L367">
        <v>0</v>
      </c>
      <c r="M367">
        <v>0</v>
      </c>
      <c r="N367" t="s">
        <v>77</v>
      </c>
      <c r="O367">
        <v>0</v>
      </c>
      <c r="P367" t="s">
        <v>77</v>
      </c>
      <c r="Q367" s="1">
        <v>0</v>
      </c>
    </row>
    <row r="368" spans="1:17">
      <c r="A368" t="s">
        <v>63</v>
      </c>
      <c r="B368" t="s">
        <v>53</v>
      </c>
      <c r="C368" t="s">
        <v>334</v>
      </c>
      <c r="D368" t="s">
        <v>75</v>
      </c>
      <c r="E368" t="s">
        <v>54</v>
      </c>
      <c r="F368" t="s">
        <v>55</v>
      </c>
      <c r="G368" t="s">
        <v>130</v>
      </c>
      <c r="H368">
        <v>0</v>
      </c>
      <c r="I368" t="s">
        <v>21</v>
      </c>
      <c r="J368">
        <v>0</v>
      </c>
      <c r="K368">
        <v>0</v>
      </c>
      <c r="L368">
        <v>0</v>
      </c>
      <c r="M368">
        <v>0</v>
      </c>
      <c r="N368" t="s">
        <v>77</v>
      </c>
      <c r="O368">
        <v>0</v>
      </c>
      <c r="P368" t="s">
        <v>77</v>
      </c>
      <c r="Q368" s="1">
        <v>0</v>
      </c>
    </row>
    <row r="369" spans="1:17">
      <c r="A369" t="s">
        <v>63</v>
      </c>
      <c r="B369" t="s">
        <v>53</v>
      </c>
      <c r="C369" t="s">
        <v>215</v>
      </c>
      <c r="D369" t="s">
        <v>75</v>
      </c>
      <c r="E369" t="s">
        <v>54</v>
      </c>
      <c r="F369" t="s">
        <v>55</v>
      </c>
      <c r="G369" t="s">
        <v>130</v>
      </c>
      <c r="H369">
        <v>0</v>
      </c>
      <c r="I369" t="s">
        <v>21</v>
      </c>
      <c r="J369">
        <v>0</v>
      </c>
      <c r="K369">
        <v>0</v>
      </c>
      <c r="L369">
        <v>0</v>
      </c>
      <c r="M369">
        <v>0</v>
      </c>
      <c r="N369" t="s">
        <v>77</v>
      </c>
      <c r="O369">
        <v>0</v>
      </c>
      <c r="P369" t="s">
        <v>77</v>
      </c>
      <c r="Q369" s="1">
        <v>0</v>
      </c>
    </row>
    <row r="370" spans="1:17">
      <c r="A370" t="s">
        <v>63</v>
      </c>
      <c r="B370" t="s">
        <v>53</v>
      </c>
      <c r="C370" t="s">
        <v>180</v>
      </c>
      <c r="D370" t="s">
        <v>75</v>
      </c>
      <c r="E370" t="s">
        <v>54</v>
      </c>
      <c r="F370" t="s">
        <v>55</v>
      </c>
      <c r="G370" t="s">
        <v>130</v>
      </c>
      <c r="H370">
        <v>0</v>
      </c>
      <c r="I370" t="s">
        <v>21</v>
      </c>
      <c r="J370">
        <v>0</v>
      </c>
      <c r="K370">
        <v>0</v>
      </c>
      <c r="L370">
        <v>0</v>
      </c>
      <c r="M370">
        <v>0</v>
      </c>
      <c r="N370" t="s">
        <v>77</v>
      </c>
      <c r="O370">
        <v>0</v>
      </c>
      <c r="P370" t="s">
        <v>77</v>
      </c>
      <c r="Q370" s="1">
        <v>0</v>
      </c>
    </row>
    <row r="371" spans="1:17">
      <c r="A371" t="s">
        <v>63</v>
      </c>
      <c r="B371" t="s">
        <v>53</v>
      </c>
      <c r="C371" t="s">
        <v>189</v>
      </c>
      <c r="D371" t="s">
        <v>75</v>
      </c>
      <c r="E371" t="s">
        <v>54</v>
      </c>
      <c r="F371" t="s">
        <v>55</v>
      </c>
      <c r="G371" t="s">
        <v>130</v>
      </c>
      <c r="H371">
        <v>0</v>
      </c>
      <c r="I371" t="s">
        <v>21</v>
      </c>
      <c r="J371">
        <v>0</v>
      </c>
      <c r="K371">
        <v>0</v>
      </c>
      <c r="L371">
        <v>0</v>
      </c>
      <c r="M371">
        <v>0</v>
      </c>
      <c r="N371" t="s">
        <v>77</v>
      </c>
      <c r="O371">
        <v>0</v>
      </c>
      <c r="P371" t="s">
        <v>77</v>
      </c>
      <c r="Q371" s="1">
        <v>0</v>
      </c>
    </row>
    <row r="372" spans="1:17">
      <c r="A372" t="s">
        <v>63</v>
      </c>
      <c r="B372" t="s">
        <v>53</v>
      </c>
      <c r="C372" t="s">
        <v>333</v>
      </c>
      <c r="D372" t="s">
        <v>75</v>
      </c>
      <c r="E372" t="s">
        <v>54</v>
      </c>
      <c r="F372" t="s">
        <v>55</v>
      </c>
      <c r="G372" t="s">
        <v>130</v>
      </c>
      <c r="H372">
        <v>0</v>
      </c>
      <c r="I372" t="s">
        <v>21</v>
      </c>
      <c r="J372">
        <v>0</v>
      </c>
      <c r="K372">
        <v>0</v>
      </c>
      <c r="L372">
        <v>0</v>
      </c>
      <c r="M372">
        <v>0</v>
      </c>
      <c r="N372" t="s">
        <v>77</v>
      </c>
      <c r="O372">
        <v>0</v>
      </c>
      <c r="P372" t="s">
        <v>77</v>
      </c>
      <c r="Q372" s="1">
        <v>0</v>
      </c>
    </row>
    <row r="373" spans="1:17">
      <c r="A373" t="s">
        <v>63</v>
      </c>
      <c r="B373" t="s">
        <v>53</v>
      </c>
      <c r="C373" t="s">
        <v>258</v>
      </c>
      <c r="D373" t="s">
        <v>75</v>
      </c>
      <c r="E373" t="s">
        <v>54</v>
      </c>
      <c r="F373" t="s">
        <v>55</v>
      </c>
      <c r="G373" t="s">
        <v>130</v>
      </c>
      <c r="H373">
        <v>0</v>
      </c>
      <c r="I373" t="s">
        <v>21</v>
      </c>
      <c r="J373">
        <v>0</v>
      </c>
      <c r="K373">
        <v>0</v>
      </c>
      <c r="L373">
        <v>0</v>
      </c>
      <c r="M373">
        <v>1</v>
      </c>
      <c r="N373" s="1">
        <v>0</v>
      </c>
      <c r="O373">
        <v>0</v>
      </c>
      <c r="P373" t="s">
        <v>77</v>
      </c>
      <c r="Q373" s="1">
        <v>0</v>
      </c>
    </row>
    <row r="374" spans="1:17">
      <c r="A374" t="s">
        <v>63</v>
      </c>
      <c r="B374" t="s">
        <v>53</v>
      </c>
      <c r="C374" t="s">
        <v>273</v>
      </c>
      <c r="D374" t="s">
        <v>82</v>
      </c>
      <c r="E374" t="s">
        <v>54</v>
      </c>
      <c r="F374" t="s">
        <v>55</v>
      </c>
      <c r="G374" t="s">
        <v>130</v>
      </c>
      <c r="H374">
        <v>0</v>
      </c>
      <c r="I374" t="s">
        <v>21</v>
      </c>
      <c r="J374">
        <v>0</v>
      </c>
      <c r="K374">
        <v>1</v>
      </c>
      <c r="L374">
        <v>3.04</v>
      </c>
      <c r="M374">
        <v>2</v>
      </c>
      <c r="N374" s="1">
        <v>0.5</v>
      </c>
      <c r="O374">
        <v>3.04</v>
      </c>
      <c r="P374">
        <v>3</v>
      </c>
      <c r="Q374" s="1">
        <v>0</v>
      </c>
    </row>
    <row r="375" spans="1:17">
      <c r="A375" t="s">
        <v>63</v>
      </c>
      <c r="B375" t="s">
        <v>53</v>
      </c>
      <c r="C375" t="s">
        <v>218</v>
      </c>
      <c r="D375" t="s">
        <v>75</v>
      </c>
      <c r="E375" t="s">
        <v>54</v>
      </c>
      <c r="F375" t="s">
        <v>55</v>
      </c>
      <c r="G375" t="s">
        <v>130</v>
      </c>
      <c r="H375">
        <v>0</v>
      </c>
      <c r="I375" t="s">
        <v>21</v>
      </c>
      <c r="J375">
        <v>0</v>
      </c>
      <c r="K375">
        <v>0</v>
      </c>
      <c r="L375">
        <v>0</v>
      </c>
      <c r="M375">
        <v>0</v>
      </c>
      <c r="N375" t="s">
        <v>77</v>
      </c>
      <c r="O375">
        <v>0</v>
      </c>
      <c r="P375" t="s">
        <v>77</v>
      </c>
      <c r="Q375" s="1">
        <v>0</v>
      </c>
    </row>
    <row r="376" spans="1:17">
      <c r="A376" t="s">
        <v>63</v>
      </c>
      <c r="B376" t="s">
        <v>53</v>
      </c>
      <c r="C376" t="s">
        <v>214</v>
      </c>
      <c r="D376" t="s">
        <v>75</v>
      </c>
      <c r="E376" t="s">
        <v>54</v>
      </c>
      <c r="F376" t="s">
        <v>55</v>
      </c>
      <c r="G376" t="s">
        <v>130</v>
      </c>
      <c r="H376">
        <v>0</v>
      </c>
      <c r="I376" t="s">
        <v>21</v>
      </c>
      <c r="J376">
        <v>0</v>
      </c>
      <c r="K376">
        <v>0</v>
      </c>
      <c r="L376">
        <v>0</v>
      </c>
      <c r="M376">
        <v>0</v>
      </c>
      <c r="N376" t="s">
        <v>77</v>
      </c>
      <c r="O376">
        <v>0</v>
      </c>
      <c r="P376" t="s">
        <v>77</v>
      </c>
      <c r="Q376" s="1">
        <v>0</v>
      </c>
    </row>
    <row r="377" spans="1:17">
      <c r="A377" t="s">
        <v>63</v>
      </c>
      <c r="B377" t="s">
        <v>53</v>
      </c>
      <c r="C377" t="s">
        <v>310</v>
      </c>
      <c r="D377" t="s">
        <v>75</v>
      </c>
      <c r="E377" t="s">
        <v>54</v>
      </c>
      <c r="F377" t="s">
        <v>55</v>
      </c>
      <c r="G377" t="s">
        <v>130</v>
      </c>
      <c r="H377">
        <v>0</v>
      </c>
      <c r="I377" t="s">
        <v>21</v>
      </c>
      <c r="J377">
        <v>0</v>
      </c>
      <c r="K377">
        <v>5</v>
      </c>
      <c r="L377">
        <v>13.84</v>
      </c>
      <c r="M377">
        <v>104</v>
      </c>
      <c r="N377" s="1">
        <v>4.8099999999999997E-2</v>
      </c>
      <c r="O377">
        <v>2.77</v>
      </c>
      <c r="P377" t="s">
        <v>77</v>
      </c>
      <c r="Q377" s="1">
        <v>0</v>
      </c>
    </row>
    <row r="378" spans="1:17">
      <c r="A378" t="s">
        <v>63</v>
      </c>
      <c r="B378" t="s">
        <v>53</v>
      </c>
      <c r="C378" t="s">
        <v>313</v>
      </c>
      <c r="D378" t="s">
        <v>75</v>
      </c>
      <c r="E378" t="s">
        <v>54</v>
      </c>
      <c r="F378" t="s">
        <v>55</v>
      </c>
      <c r="G378" t="s">
        <v>130</v>
      </c>
      <c r="H378">
        <v>0</v>
      </c>
      <c r="I378" t="s">
        <v>21</v>
      </c>
      <c r="J378">
        <v>0</v>
      </c>
      <c r="K378">
        <v>0</v>
      </c>
      <c r="L378">
        <v>0</v>
      </c>
      <c r="M378">
        <v>0</v>
      </c>
      <c r="N378" t="s">
        <v>77</v>
      </c>
      <c r="O378">
        <v>0</v>
      </c>
      <c r="P378" t="s">
        <v>77</v>
      </c>
      <c r="Q378" s="1">
        <v>0</v>
      </c>
    </row>
    <row r="379" spans="1:17">
      <c r="A379" t="s">
        <v>63</v>
      </c>
      <c r="B379" t="s">
        <v>53</v>
      </c>
      <c r="C379" t="s">
        <v>140</v>
      </c>
      <c r="D379" t="s">
        <v>75</v>
      </c>
      <c r="E379" t="s">
        <v>54</v>
      </c>
      <c r="F379" t="s">
        <v>55</v>
      </c>
      <c r="G379" t="s">
        <v>130</v>
      </c>
      <c r="H379">
        <v>0</v>
      </c>
      <c r="I379" t="s">
        <v>21</v>
      </c>
      <c r="J379">
        <v>0</v>
      </c>
      <c r="K379">
        <v>0</v>
      </c>
      <c r="L379">
        <v>0</v>
      </c>
      <c r="M379">
        <v>0</v>
      </c>
      <c r="N379" t="s">
        <v>77</v>
      </c>
      <c r="O379">
        <v>0</v>
      </c>
      <c r="P379" t="s">
        <v>77</v>
      </c>
      <c r="Q379" s="1">
        <v>0</v>
      </c>
    </row>
    <row r="380" spans="1:17">
      <c r="A380" t="s">
        <v>63</v>
      </c>
      <c r="B380" t="s">
        <v>53</v>
      </c>
      <c r="C380" t="s">
        <v>248</v>
      </c>
      <c r="D380" t="s">
        <v>75</v>
      </c>
      <c r="E380" t="s">
        <v>54</v>
      </c>
      <c r="F380" t="s">
        <v>55</v>
      </c>
      <c r="G380" t="s">
        <v>130</v>
      </c>
      <c r="H380">
        <v>0</v>
      </c>
      <c r="I380" t="s">
        <v>21</v>
      </c>
      <c r="J380">
        <v>0</v>
      </c>
      <c r="K380">
        <v>0</v>
      </c>
      <c r="L380">
        <v>0</v>
      </c>
      <c r="M380">
        <v>0</v>
      </c>
      <c r="N380" t="s">
        <v>77</v>
      </c>
      <c r="O380">
        <v>0</v>
      </c>
      <c r="P380" t="s">
        <v>77</v>
      </c>
      <c r="Q380" s="1">
        <v>0</v>
      </c>
    </row>
    <row r="381" spans="1:17">
      <c r="A381" t="s">
        <v>63</v>
      </c>
      <c r="B381" t="s">
        <v>53</v>
      </c>
      <c r="C381" t="s">
        <v>296</v>
      </c>
      <c r="D381" t="s">
        <v>75</v>
      </c>
      <c r="E381" t="s">
        <v>54</v>
      </c>
      <c r="F381" t="s">
        <v>55</v>
      </c>
      <c r="G381" t="s">
        <v>130</v>
      </c>
      <c r="H381">
        <v>0</v>
      </c>
      <c r="I381" t="s">
        <v>21</v>
      </c>
      <c r="J381">
        <v>0</v>
      </c>
      <c r="K381">
        <v>0</v>
      </c>
      <c r="L381">
        <v>0</v>
      </c>
      <c r="M381">
        <v>0</v>
      </c>
      <c r="N381" t="s">
        <v>77</v>
      </c>
      <c r="O381">
        <v>0</v>
      </c>
      <c r="P381" t="s">
        <v>77</v>
      </c>
      <c r="Q381" s="1">
        <v>0</v>
      </c>
    </row>
    <row r="382" spans="1:17">
      <c r="A382" t="s">
        <v>63</v>
      </c>
      <c r="B382" t="s">
        <v>53</v>
      </c>
      <c r="C382" t="s">
        <v>201</v>
      </c>
      <c r="D382" t="s">
        <v>75</v>
      </c>
      <c r="E382" t="s">
        <v>54</v>
      </c>
      <c r="F382" t="s">
        <v>55</v>
      </c>
      <c r="G382" t="s">
        <v>130</v>
      </c>
      <c r="H382">
        <v>0</v>
      </c>
      <c r="I382" t="s">
        <v>21</v>
      </c>
      <c r="J382">
        <v>0</v>
      </c>
      <c r="K382">
        <v>0</v>
      </c>
      <c r="L382">
        <v>0</v>
      </c>
      <c r="M382">
        <v>0</v>
      </c>
      <c r="N382" t="s">
        <v>77</v>
      </c>
      <c r="O382">
        <v>0</v>
      </c>
      <c r="P382" t="s">
        <v>77</v>
      </c>
      <c r="Q382" s="1">
        <v>0</v>
      </c>
    </row>
    <row r="383" spans="1:17">
      <c r="A383" t="s">
        <v>63</v>
      </c>
      <c r="B383" t="s">
        <v>53</v>
      </c>
      <c r="C383" t="s">
        <v>219</v>
      </c>
      <c r="D383" t="s">
        <v>75</v>
      </c>
      <c r="E383" t="s">
        <v>54</v>
      </c>
      <c r="F383" t="s">
        <v>55</v>
      </c>
      <c r="G383" t="s">
        <v>130</v>
      </c>
      <c r="H383">
        <v>0</v>
      </c>
      <c r="I383" t="s">
        <v>21</v>
      </c>
      <c r="J383">
        <v>0</v>
      </c>
      <c r="K383">
        <v>0</v>
      </c>
      <c r="L383">
        <v>0</v>
      </c>
      <c r="M383">
        <v>0</v>
      </c>
      <c r="N383" t="s">
        <v>77</v>
      </c>
      <c r="O383">
        <v>0</v>
      </c>
      <c r="P383" t="s">
        <v>77</v>
      </c>
      <c r="Q383" s="1">
        <v>0</v>
      </c>
    </row>
    <row r="384" spans="1:17">
      <c r="A384" t="s">
        <v>63</v>
      </c>
      <c r="B384" t="s">
        <v>53</v>
      </c>
      <c r="C384" t="s">
        <v>166</v>
      </c>
      <c r="D384" t="s">
        <v>75</v>
      </c>
      <c r="E384" t="s">
        <v>54</v>
      </c>
      <c r="F384" t="s">
        <v>55</v>
      </c>
      <c r="G384" t="s">
        <v>130</v>
      </c>
      <c r="H384">
        <v>0</v>
      </c>
      <c r="I384" t="s">
        <v>21</v>
      </c>
      <c r="J384">
        <v>0</v>
      </c>
      <c r="K384">
        <v>0</v>
      </c>
      <c r="L384">
        <v>0</v>
      </c>
      <c r="M384">
        <v>0</v>
      </c>
      <c r="N384" t="s">
        <v>77</v>
      </c>
      <c r="O384">
        <v>0</v>
      </c>
      <c r="P384" t="s">
        <v>77</v>
      </c>
      <c r="Q384" s="1">
        <v>0</v>
      </c>
    </row>
    <row r="385" spans="1:17">
      <c r="A385" t="s">
        <v>63</v>
      </c>
      <c r="B385" t="s">
        <v>53</v>
      </c>
      <c r="C385" t="s">
        <v>191</v>
      </c>
      <c r="D385" t="s">
        <v>75</v>
      </c>
      <c r="E385" t="s">
        <v>54</v>
      </c>
      <c r="F385" t="s">
        <v>55</v>
      </c>
      <c r="G385" t="s">
        <v>130</v>
      </c>
      <c r="H385">
        <v>0</v>
      </c>
      <c r="I385" t="s">
        <v>21</v>
      </c>
      <c r="J385">
        <v>0</v>
      </c>
      <c r="K385">
        <v>1</v>
      </c>
      <c r="L385">
        <v>3.52</v>
      </c>
      <c r="M385">
        <v>12</v>
      </c>
      <c r="N385" s="1">
        <v>8.3299999999999999E-2</v>
      </c>
      <c r="O385">
        <v>3.52</v>
      </c>
      <c r="P385" t="s">
        <v>77</v>
      </c>
      <c r="Q385" s="1">
        <v>0</v>
      </c>
    </row>
    <row r="386" spans="1:17">
      <c r="A386" t="s">
        <v>63</v>
      </c>
      <c r="B386" t="s">
        <v>53</v>
      </c>
      <c r="C386" t="s">
        <v>317</v>
      </c>
      <c r="D386" t="s">
        <v>75</v>
      </c>
      <c r="E386" t="s">
        <v>54</v>
      </c>
      <c r="F386" t="s">
        <v>55</v>
      </c>
      <c r="G386" t="s">
        <v>130</v>
      </c>
      <c r="H386">
        <v>0</v>
      </c>
      <c r="I386" t="s">
        <v>21</v>
      </c>
      <c r="J386">
        <v>0</v>
      </c>
      <c r="K386">
        <v>0</v>
      </c>
      <c r="L386">
        <v>0</v>
      </c>
      <c r="M386">
        <v>0</v>
      </c>
      <c r="N386" t="s">
        <v>77</v>
      </c>
      <c r="O386">
        <v>0</v>
      </c>
      <c r="P386" t="s">
        <v>77</v>
      </c>
      <c r="Q386" s="1">
        <v>0</v>
      </c>
    </row>
    <row r="387" spans="1:17">
      <c r="A387" t="s">
        <v>63</v>
      </c>
      <c r="B387" t="s">
        <v>53</v>
      </c>
      <c r="C387" t="s">
        <v>304</v>
      </c>
      <c r="D387" t="s">
        <v>75</v>
      </c>
      <c r="E387" t="s">
        <v>54</v>
      </c>
      <c r="F387" t="s">
        <v>55</v>
      </c>
      <c r="G387" t="s">
        <v>130</v>
      </c>
      <c r="H387">
        <v>0</v>
      </c>
      <c r="I387" t="s">
        <v>21</v>
      </c>
      <c r="J387">
        <v>0</v>
      </c>
      <c r="K387">
        <v>0</v>
      </c>
      <c r="L387">
        <v>0</v>
      </c>
      <c r="M387">
        <v>5</v>
      </c>
      <c r="N387" s="1">
        <v>0</v>
      </c>
      <c r="O387">
        <v>0</v>
      </c>
      <c r="P387">
        <v>3</v>
      </c>
      <c r="Q387" s="1">
        <v>0</v>
      </c>
    </row>
    <row r="388" spans="1:17">
      <c r="A388" t="s">
        <v>63</v>
      </c>
      <c r="B388" t="s">
        <v>53</v>
      </c>
      <c r="C388" t="s">
        <v>133</v>
      </c>
      <c r="D388" t="s">
        <v>75</v>
      </c>
      <c r="E388" t="s">
        <v>54</v>
      </c>
      <c r="F388" t="s">
        <v>55</v>
      </c>
      <c r="G388" t="s">
        <v>130</v>
      </c>
      <c r="H388">
        <v>0</v>
      </c>
      <c r="I388" t="s">
        <v>21</v>
      </c>
      <c r="J388">
        <v>0</v>
      </c>
      <c r="K388">
        <v>0</v>
      </c>
      <c r="L388">
        <v>0</v>
      </c>
      <c r="M388">
        <v>0</v>
      </c>
      <c r="N388" t="s">
        <v>77</v>
      </c>
      <c r="O388">
        <v>0</v>
      </c>
      <c r="P388" t="s">
        <v>77</v>
      </c>
      <c r="Q388" s="1">
        <v>0</v>
      </c>
    </row>
    <row r="389" spans="1:17">
      <c r="A389" t="s">
        <v>63</v>
      </c>
      <c r="B389" t="s">
        <v>53</v>
      </c>
      <c r="C389" t="s">
        <v>181</v>
      </c>
      <c r="D389" t="s">
        <v>75</v>
      </c>
      <c r="E389" t="s">
        <v>54</v>
      </c>
      <c r="F389" t="s">
        <v>55</v>
      </c>
      <c r="G389" t="s">
        <v>130</v>
      </c>
      <c r="H389">
        <v>0</v>
      </c>
      <c r="I389" t="s">
        <v>21</v>
      </c>
      <c r="J389">
        <v>0</v>
      </c>
      <c r="K389">
        <v>0</v>
      </c>
      <c r="L389">
        <v>0</v>
      </c>
      <c r="M389">
        <v>0</v>
      </c>
      <c r="N389" t="s">
        <v>77</v>
      </c>
      <c r="O389">
        <v>0</v>
      </c>
      <c r="P389" t="s">
        <v>77</v>
      </c>
      <c r="Q389" s="1">
        <v>0</v>
      </c>
    </row>
    <row r="390" spans="1:17">
      <c r="A390" t="s">
        <v>63</v>
      </c>
      <c r="B390" t="s">
        <v>53</v>
      </c>
      <c r="C390" t="s">
        <v>137</v>
      </c>
      <c r="D390" t="s">
        <v>75</v>
      </c>
      <c r="E390" t="s">
        <v>54</v>
      </c>
      <c r="F390" t="s">
        <v>55</v>
      </c>
      <c r="G390" t="s">
        <v>130</v>
      </c>
      <c r="H390">
        <v>0</v>
      </c>
      <c r="I390" t="s">
        <v>21</v>
      </c>
      <c r="J390">
        <v>0</v>
      </c>
      <c r="K390">
        <v>0</v>
      </c>
      <c r="L390">
        <v>0</v>
      </c>
      <c r="M390">
        <v>0</v>
      </c>
      <c r="N390" t="s">
        <v>77</v>
      </c>
      <c r="O390">
        <v>0</v>
      </c>
      <c r="P390" t="s">
        <v>77</v>
      </c>
      <c r="Q390" s="1">
        <v>0</v>
      </c>
    </row>
    <row r="391" spans="1:17">
      <c r="A391" t="s">
        <v>63</v>
      </c>
      <c r="B391" t="s">
        <v>53</v>
      </c>
      <c r="C391" t="s">
        <v>300</v>
      </c>
      <c r="D391" t="s">
        <v>75</v>
      </c>
      <c r="E391" t="s">
        <v>54</v>
      </c>
      <c r="F391" t="s">
        <v>55</v>
      </c>
      <c r="G391" t="s">
        <v>130</v>
      </c>
      <c r="H391">
        <v>0</v>
      </c>
      <c r="I391" t="s">
        <v>21</v>
      </c>
      <c r="J391">
        <v>0</v>
      </c>
      <c r="K391">
        <v>0</v>
      </c>
      <c r="L391">
        <v>0</v>
      </c>
      <c r="M391">
        <v>0</v>
      </c>
      <c r="N391" t="s">
        <v>77</v>
      </c>
      <c r="O391">
        <v>0</v>
      </c>
      <c r="P391" t="s">
        <v>77</v>
      </c>
      <c r="Q391" s="1">
        <v>0</v>
      </c>
    </row>
    <row r="392" spans="1:17">
      <c r="A392" t="s">
        <v>63</v>
      </c>
      <c r="B392" t="s">
        <v>53</v>
      </c>
      <c r="C392" t="s">
        <v>149</v>
      </c>
      <c r="D392" t="s">
        <v>75</v>
      </c>
      <c r="E392" t="s">
        <v>54</v>
      </c>
      <c r="F392" t="s">
        <v>55</v>
      </c>
      <c r="G392" t="s">
        <v>130</v>
      </c>
      <c r="H392">
        <v>0</v>
      </c>
      <c r="I392" t="s">
        <v>21</v>
      </c>
      <c r="J392">
        <v>0</v>
      </c>
      <c r="K392">
        <v>0</v>
      </c>
      <c r="L392">
        <v>0</v>
      </c>
      <c r="M392">
        <v>0</v>
      </c>
      <c r="N392" t="s">
        <v>77</v>
      </c>
      <c r="O392">
        <v>0</v>
      </c>
      <c r="P392" t="s">
        <v>77</v>
      </c>
      <c r="Q392" s="1">
        <v>0</v>
      </c>
    </row>
    <row r="393" spans="1:17">
      <c r="A393" t="s">
        <v>63</v>
      </c>
      <c r="B393" t="s">
        <v>53</v>
      </c>
      <c r="C393" t="s">
        <v>299</v>
      </c>
      <c r="D393" t="s">
        <v>75</v>
      </c>
      <c r="E393" t="s">
        <v>54</v>
      </c>
      <c r="F393" t="s">
        <v>55</v>
      </c>
      <c r="G393" t="s">
        <v>130</v>
      </c>
      <c r="H393">
        <v>0</v>
      </c>
      <c r="I393" t="s">
        <v>21</v>
      </c>
      <c r="J393">
        <v>0</v>
      </c>
      <c r="K393">
        <v>0</v>
      </c>
      <c r="L393">
        <v>0</v>
      </c>
      <c r="M393">
        <v>0</v>
      </c>
      <c r="N393" t="s">
        <v>77</v>
      </c>
      <c r="O393">
        <v>0</v>
      </c>
      <c r="P393" t="s">
        <v>77</v>
      </c>
      <c r="Q393" s="1">
        <v>0</v>
      </c>
    </row>
    <row r="394" spans="1:17">
      <c r="A394" t="s">
        <v>63</v>
      </c>
      <c r="B394" t="s">
        <v>53</v>
      </c>
      <c r="C394" t="s">
        <v>138</v>
      </c>
      <c r="D394" t="s">
        <v>75</v>
      </c>
      <c r="E394" t="s">
        <v>54</v>
      </c>
      <c r="F394" t="s">
        <v>55</v>
      </c>
      <c r="G394" t="s">
        <v>130</v>
      </c>
      <c r="H394">
        <v>0</v>
      </c>
      <c r="I394" t="s">
        <v>21</v>
      </c>
      <c r="J394">
        <v>0</v>
      </c>
      <c r="K394">
        <v>0</v>
      </c>
      <c r="L394">
        <v>0</v>
      </c>
      <c r="M394">
        <v>0</v>
      </c>
      <c r="N394" t="s">
        <v>77</v>
      </c>
      <c r="O394">
        <v>0</v>
      </c>
      <c r="P394" t="s">
        <v>77</v>
      </c>
      <c r="Q394" s="1">
        <v>0</v>
      </c>
    </row>
    <row r="395" spans="1:17">
      <c r="A395" t="s">
        <v>63</v>
      </c>
      <c r="B395" t="s">
        <v>53</v>
      </c>
      <c r="C395" t="s">
        <v>286</v>
      </c>
      <c r="D395" t="s">
        <v>75</v>
      </c>
      <c r="E395" t="s">
        <v>54</v>
      </c>
      <c r="F395" t="s">
        <v>55</v>
      </c>
      <c r="G395" t="s">
        <v>130</v>
      </c>
      <c r="H395">
        <v>0</v>
      </c>
      <c r="I395" t="s">
        <v>21</v>
      </c>
      <c r="J395">
        <v>0</v>
      </c>
      <c r="K395">
        <v>0</v>
      </c>
      <c r="L395">
        <v>0</v>
      </c>
      <c r="M395">
        <v>0</v>
      </c>
      <c r="N395" t="s">
        <v>77</v>
      </c>
      <c r="O395">
        <v>0</v>
      </c>
      <c r="P395" t="s">
        <v>77</v>
      </c>
      <c r="Q395" s="1">
        <v>0</v>
      </c>
    </row>
    <row r="396" spans="1:17">
      <c r="A396" t="s">
        <v>63</v>
      </c>
      <c r="B396" t="s">
        <v>53</v>
      </c>
      <c r="C396" t="s">
        <v>285</v>
      </c>
      <c r="D396" t="s">
        <v>75</v>
      </c>
      <c r="E396" t="s">
        <v>54</v>
      </c>
      <c r="F396" t="s">
        <v>55</v>
      </c>
      <c r="G396" t="s">
        <v>130</v>
      </c>
      <c r="H396">
        <v>0</v>
      </c>
      <c r="I396" t="s">
        <v>21</v>
      </c>
      <c r="J396">
        <v>0</v>
      </c>
      <c r="K396">
        <v>0</v>
      </c>
      <c r="L396">
        <v>0</v>
      </c>
      <c r="M396">
        <v>0</v>
      </c>
      <c r="N396" t="s">
        <v>77</v>
      </c>
      <c r="O396">
        <v>0</v>
      </c>
      <c r="P396" t="s">
        <v>77</v>
      </c>
      <c r="Q396" s="1">
        <v>0</v>
      </c>
    </row>
    <row r="397" spans="1:17">
      <c r="A397" t="s">
        <v>63</v>
      </c>
      <c r="B397" t="s">
        <v>53</v>
      </c>
      <c r="C397" t="s">
        <v>113</v>
      </c>
      <c r="D397" t="s">
        <v>75</v>
      </c>
      <c r="E397" t="s">
        <v>58</v>
      </c>
      <c r="F397" t="s">
        <v>55</v>
      </c>
      <c r="G397" t="s">
        <v>76</v>
      </c>
      <c r="H397">
        <v>0</v>
      </c>
      <c r="I397" t="s">
        <v>21</v>
      </c>
      <c r="J397">
        <v>0</v>
      </c>
      <c r="K397">
        <v>0</v>
      </c>
      <c r="L397">
        <v>0</v>
      </c>
      <c r="M397">
        <v>0</v>
      </c>
      <c r="N397" t="s">
        <v>77</v>
      </c>
      <c r="O397">
        <v>0</v>
      </c>
      <c r="P397" t="s">
        <v>77</v>
      </c>
      <c r="Q397" s="1">
        <v>0</v>
      </c>
    </row>
    <row r="398" spans="1:17">
      <c r="A398" t="s">
        <v>63</v>
      </c>
      <c r="B398" t="s">
        <v>18</v>
      </c>
      <c r="C398" t="s">
        <v>115</v>
      </c>
      <c r="D398" t="s">
        <v>79</v>
      </c>
      <c r="E398" t="s">
        <v>58</v>
      </c>
      <c r="F398" t="s">
        <v>18</v>
      </c>
      <c r="G398" t="s">
        <v>95</v>
      </c>
      <c r="H398">
        <v>0</v>
      </c>
      <c r="I398" t="s">
        <v>21</v>
      </c>
      <c r="J398">
        <v>0</v>
      </c>
      <c r="K398">
        <v>0</v>
      </c>
      <c r="L398">
        <v>0</v>
      </c>
      <c r="M398">
        <v>0</v>
      </c>
      <c r="N398" t="s">
        <v>77</v>
      </c>
      <c r="O398">
        <v>0</v>
      </c>
      <c r="P398" t="s">
        <v>77</v>
      </c>
      <c r="Q398" s="1">
        <v>0</v>
      </c>
    </row>
    <row r="399" spans="1:17">
      <c r="A399" t="s">
        <v>63</v>
      </c>
      <c r="B399" t="s">
        <v>53</v>
      </c>
      <c r="C399" t="s">
        <v>90</v>
      </c>
      <c r="D399" t="s">
        <v>75</v>
      </c>
      <c r="E399" t="s">
        <v>58</v>
      </c>
      <c r="F399" t="s">
        <v>55</v>
      </c>
      <c r="G399" t="s">
        <v>76</v>
      </c>
      <c r="H399">
        <v>0</v>
      </c>
      <c r="I399" t="s">
        <v>21</v>
      </c>
      <c r="J399">
        <v>0</v>
      </c>
      <c r="K399">
        <v>0</v>
      </c>
      <c r="L399">
        <v>0</v>
      </c>
      <c r="M399">
        <v>0</v>
      </c>
      <c r="N399" t="s">
        <v>77</v>
      </c>
      <c r="O399">
        <v>0</v>
      </c>
      <c r="P399" t="s">
        <v>77</v>
      </c>
      <c r="Q399" s="1">
        <v>0</v>
      </c>
    </row>
    <row r="400" spans="1:17">
      <c r="A400" t="s">
        <v>63</v>
      </c>
      <c r="B400" t="s">
        <v>53</v>
      </c>
      <c r="C400" t="s">
        <v>74</v>
      </c>
      <c r="D400" t="s">
        <v>75</v>
      </c>
      <c r="E400" t="s">
        <v>58</v>
      </c>
      <c r="F400" t="s">
        <v>55</v>
      </c>
      <c r="G400" t="s">
        <v>76</v>
      </c>
      <c r="H400">
        <v>0</v>
      </c>
      <c r="I400" t="s">
        <v>21</v>
      </c>
      <c r="J400">
        <v>0</v>
      </c>
      <c r="K400">
        <v>0</v>
      </c>
      <c r="L400">
        <v>0</v>
      </c>
      <c r="M400">
        <v>0</v>
      </c>
      <c r="N400" t="s">
        <v>77</v>
      </c>
      <c r="O400">
        <v>0</v>
      </c>
      <c r="P400" t="s">
        <v>77</v>
      </c>
      <c r="Q400" s="1">
        <v>0</v>
      </c>
    </row>
    <row r="401" spans="1:17">
      <c r="A401" t="s">
        <v>63</v>
      </c>
      <c r="B401" t="s">
        <v>53</v>
      </c>
      <c r="C401" t="s">
        <v>97</v>
      </c>
      <c r="D401" t="s">
        <v>79</v>
      </c>
      <c r="E401" t="s">
        <v>58</v>
      </c>
      <c r="F401" t="s">
        <v>55</v>
      </c>
      <c r="G401" t="s">
        <v>80</v>
      </c>
      <c r="H401">
        <v>0</v>
      </c>
      <c r="I401" t="s">
        <v>21</v>
      </c>
      <c r="J401">
        <v>0</v>
      </c>
      <c r="K401">
        <v>0</v>
      </c>
      <c r="L401">
        <v>0</v>
      </c>
      <c r="M401">
        <v>0</v>
      </c>
      <c r="N401" t="s">
        <v>77</v>
      </c>
      <c r="O401">
        <v>0</v>
      </c>
      <c r="P401" t="s">
        <v>77</v>
      </c>
      <c r="Q401" s="1">
        <v>0</v>
      </c>
    </row>
    <row r="402" spans="1:17">
      <c r="A402" t="s">
        <v>63</v>
      </c>
      <c r="B402" t="s">
        <v>53</v>
      </c>
      <c r="C402" t="s">
        <v>116</v>
      </c>
      <c r="D402" t="s">
        <v>75</v>
      </c>
      <c r="E402" t="s">
        <v>58</v>
      </c>
      <c r="F402" t="s">
        <v>55</v>
      </c>
      <c r="G402" t="s">
        <v>80</v>
      </c>
      <c r="H402">
        <v>0</v>
      </c>
      <c r="I402" t="s">
        <v>21</v>
      </c>
      <c r="J402">
        <v>0</v>
      </c>
      <c r="K402">
        <v>0</v>
      </c>
      <c r="L402">
        <v>0</v>
      </c>
      <c r="M402">
        <v>0</v>
      </c>
      <c r="N402" t="s">
        <v>77</v>
      </c>
      <c r="O402">
        <v>0</v>
      </c>
      <c r="P402" t="s">
        <v>77</v>
      </c>
      <c r="Q402" s="1">
        <v>0</v>
      </c>
    </row>
    <row r="403" spans="1:17">
      <c r="A403" t="s">
        <v>63</v>
      </c>
      <c r="B403" t="s">
        <v>53</v>
      </c>
      <c r="C403" t="s">
        <v>114</v>
      </c>
      <c r="D403" t="s">
        <v>79</v>
      </c>
      <c r="E403" t="s">
        <v>58</v>
      </c>
      <c r="F403" t="s">
        <v>55</v>
      </c>
      <c r="G403" t="s">
        <v>80</v>
      </c>
      <c r="H403">
        <v>0</v>
      </c>
      <c r="I403" t="s">
        <v>21</v>
      </c>
      <c r="J403">
        <v>0</v>
      </c>
      <c r="K403">
        <v>0</v>
      </c>
      <c r="L403">
        <v>0</v>
      </c>
      <c r="M403">
        <v>0</v>
      </c>
      <c r="N403" t="s">
        <v>77</v>
      </c>
      <c r="O403">
        <v>0</v>
      </c>
      <c r="P403" t="s">
        <v>77</v>
      </c>
      <c r="Q403" s="1">
        <v>0</v>
      </c>
    </row>
    <row r="404" spans="1:17">
      <c r="A404" t="s">
        <v>63</v>
      </c>
      <c r="B404" t="s">
        <v>18</v>
      </c>
      <c r="C404" t="s">
        <v>119</v>
      </c>
      <c r="D404" t="s">
        <v>82</v>
      </c>
      <c r="E404" t="s">
        <v>58</v>
      </c>
      <c r="F404" t="s">
        <v>18</v>
      </c>
      <c r="G404" t="s">
        <v>95</v>
      </c>
      <c r="H404">
        <v>0</v>
      </c>
      <c r="I404" t="s">
        <v>21</v>
      </c>
      <c r="J404">
        <v>0</v>
      </c>
      <c r="K404">
        <v>0</v>
      </c>
      <c r="L404">
        <v>0</v>
      </c>
      <c r="M404">
        <v>0</v>
      </c>
      <c r="N404" t="s">
        <v>77</v>
      </c>
      <c r="O404">
        <v>0</v>
      </c>
      <c r="P404" t="s">
        <v>77</v>
      </c>
      <c r="Q404" s="1">
        <v>0</v>
      </c>
    </row>
    <row r="405" spans="1:17">
      <c r="A405" t="s">
        <v>63</v>
      </c>
      <c r="B405" t="s">
        <v>53</v>
      </c>
      <c r="C405" t="s">
        <v>88</v>
      </c>
      <c r="D405" t="s">
        <v>75</v>
      </c>
      <c r="E405" t="s">
        <v>58</v>
      </c>
      <c r="F405" t="s">
        <v>55</v>
      </c>
      <c r="G405" t="s">
        <v>80</v>
      </c>
      <c r="H405">
        <v>0</v>
      </c>
      <c r="I405" t="s">
        <v>21</v>
      </c>
      <c r="J405">
        <v>0</v>
      </c>
      <c r="K405">
        <v>0</v>
      </c>
      <c r="L405">
        <v>0</v>
      </c>
      <c r="M405">
        <v>0</v>
      </c>
      <c r="N405" t="s">
        <v>77</v>
      </c>
      <c r="O405">
        <v>0</v>
      </c>
      <c r="P405" t="s">
        <v>77</v>
      </c>
      <c r="Q405" s="1">
        <v>0</v>
      </c>
    </row>
    <row r="406" spans="1:17">
      <c r="A406" t="s">
        <v>63</v>
      </c>
      <c r="B406" t="s">
        <v>18</v>
      </c>
      <c r="C406" t="s">
        <v>124</v>
      </c>
      <c r="D406" t="s">
        <v>82</v>
      </c>
      <c r="E406" t="s">
        <v>58</v>
      </c>
      <c r="F406" t="s">
        <v>18</v>
      </c>
      <c r="G406" t="s">
        <v>95</v>
      </c>
      <c r="H406">
        <v>0</v>
      </c>
      <c r="I406" t="s">
        <v>21</v>
      </c>
      <c r="J406">
        <v>0</v>
      </c>
      <c r="K406">
        <v>0</v>
      </c>
      <c r="L406">
        <v>0</v>
      </c>
      <c r="M406">
        <v>0</v>
      </c>
      <c r="N406" t="s">
        <v>77</v>
      </c>
      <c r="O406">
        <v>0</v>
      </c>
      <c r="P406" t="s">
        <v>77</v>
      </c>
      <c r="Q406" s="1">
        <v>0</v>
      </c>
    </row>
    <row r="407" spans="1:17">
      <c r="A407" t="s">
        <v>63</v>
      </c>
      <c r="B407" t="s">
        <v>18</v>
      </c>
      <c r="C407" t="s">
        <v>107</v>
      </c>
      <c r="D407" t="s">
        <v>79</v>
      </c>
      <c r="E407" t="s">
        <v>58</v>
      </c>
      <c r="F407" t="s">
        <v>18</v>
      </c>
      <c r="G407" t="s">
        <v>95</v>
      </c>
      <c r="H407">
        <v>0</v>
      </c>
      <c r="I407" t="s">
        <v>21</v>
      </c>
      <c r="J407">
        <v>0</v>
      </c>
      <c r="K407">
        <v>0</v>
      </c>
      <c r="L407">
        <v>0</v>
      </c>
      <c r="M407">
        <v>0</v>
      </c>
      <c r="N407" t="s">
        <v>77</v>
      </c>
      <c r="O407">
        <v>0</v>
      </c>
      <c r="P407" t="s">
        <v>77</v>
      </c>
      <c r="Q407" s="1">
        <v>0</v>
      </c>
    </row>
    <row r="408" spans="1:17">
      <c r="A408" t="s">
        <v>63</v>
      </c>
      <c r="B408" t="s">
        <v>53</v>
      </c>
      <c r="C408" t="s">
        <v>118</v>
      </c>
      <c r="D408" t="s">
        <v>79</v>
      </c>
      <c r="E408" t="s">
        <v>58</v>
      </c>
      <c r="F408" t="s">
        <v>55</v>
      </c>
      <c r="G408" t="s">
        <v>76</v>
      </c>
      <c r="H408">
        <v>0</v>
      </c>
      <c r="I408" t="s">
        <v>21</v>
      </c>
      <c r="J408">
        <v>0</v>
      </c>
      <c r="K408">
        <v>0</v>
      </c>
      <c r="L408">
        <v>0</v>
      </c>
      <c r="M408">
        <v>0</v>
      </c>
      <c r="N408" t="s">
        <v>77</v>
      </c>
      <c r="O408">
        <v>0</v>
      </c>
      <c r="P408" t="s">
        <v>77</v>
      </c>
      <c r="Q408" s="1">
        <v>0</v>
      </c>
    </row>
    <row r="409" spans="1:17">
      <c r="A409" t="s">
        <v>63</v>
      </c>
      <c r="B409" t="s">
        <v>53</v>
      </c>
      <c r="C409" t="s">
        <v>87</v>
      </c>
      <c r="D409" t="s">
        <v>79</v>
      </c>
      <c r="E409" t="s">
        <v>58</v>
      </c>
      <c r="F409" t="s">
        <v>55</v>
      </c>
      <c r="G409" t="s">
        <v>80</v>
      </c>
      <c r="H409">
        <v>0</v>
      </c>
      <c r="I409" t="s">
        <v>21</v>
      </c>
      <c r="J409">
        <v>0</v>
      </c>
      <c r="K409">
        <v>0</v>
      </c>
      <c r="L409">
        <v>0</v>
      </c>
      <c r="M409">
        <v>0</v>
      </c>
      <c r="N409" t="s">
        <v>77</v>
      </c>
      <c r="O409">
        <v>0</v>
      </c>
      <c r="P409" t="s">
        <v>77</v>
      </c>
      <c r="Q409" s="1">
        <v>0</v>
      </c>
    </row>
    <row r="410" spans="1:17">
      <c r="A410" t="s">
        <v>63</v>
      </c>
      <c r="B410" t="s">
        <v>53</v>
      </c>
      <c r="C410" t="s">
        <v>125</v>
      </c>
      <c r="D410" t="s">
        <v>82</v>
      </c>
      <c r="E410" t="s">
        <v>58</v>
      </c>
      <c r="F410" t="s">
        <v>55</v>
      </c>
      <c r="G410" t="s">
        <v>80</v>
      </c>
      <c r="H410">
        <v>0</v>
      </c>
      <c r="I410" t="s">
        <v>21</v>
      </c>
      <c r="J410">
        <v>0</v>
      </c>
      <c r="K410">
        <v>0</v>
      </c>
      <c r="L410">
        <v>0</v>
      </c>
      <c r="M410">
        <v>0</v>
      </c>
      <c r="N410" t="s">
        <v>77</v>
      </c>
      <c r="O410">
        <v>0</v>
      </c>
      <c r="P410" t="s">
        <v>77</v>
      </c>
      <c r="Q410" s="1">
        <v>0</v>
      </c>
    </row>
    <row r="411" spans="1:17">
      <c r="A411" t="s">
        <v>63</v>
      </c>
      <c r="B411" t="s">
        <v>53</v>
      </c>
      <c r="C411" t="s">
        <v>78</v>
      </c>
      <c r="D411" t="s">
        <v>79</v>
      </c>
      <c r="E411" t="s">
        <v>58</v>
      </c>
      <c r="F411" t="s">
        <v>55</v>
      </c>
      <c r="G411" t="s">
        <v>80</v>
      </c>
      <c r="H411">
        <v>0</v>
      </c>
      <c r="I411" t="s">
        <v>21</v>
      </c>
      <c r="J411">
        <v>0</v>
      </c>
      <c r="K411">
        <v>0</v>
      </c>
      <c r="L411">
        <v>0</v>
      </c>
      <c r="M411">
        <v>0</v>
      </c>
      <c r="N411" t="s">
        <v>77</v>
      </c>
      <c r="O411">
        <v>0</v>
      </c>
      <c r="P411" t="s">
        <v>77</v>
      </c>
      <c r="Q411" s="1">
        <v>0</v>
      </c>
    </row>
    <row r="412" spans="1:17">
      <c r="A412" t="s">
        <v>63</v>
      </c>
      <c r="B412" t="s">
        <v>53</v>
      </c>
      <c r="C412" t="s">
        <v>127</v>
      </c>
      <c r="D412" t="s">
        <v>75</v>
      </c>
      <c r="E412" t="s">
        <v>58</v>
      </c>
      <c r="F412" t="s">
        <v>55</v>
      </c>
      <c r="G412" t="s">
        <v>80</v>
      </c>
      <c r="H412">
        <v>0</v>
      </c>
      <c r="I412" t="s">
        <v>21</v>
      </c>
      <c r="J412">
        <v>0</v>
      </c>
      <c r="K412">
        <v>0</v>
      </c>
      <c r="L412">
        <v>0</v>
      </c>
      <c r="M412">
        <v>0</v>
      </c>
      <c r="N412" t="s">
        <v>77</v>
      </c>
      <c r="O412">
        <v>0</v>
      </c>
      <c r="P412" t="s">
        <v>77</v>
      </c>
      <c r="Q412" s="1">
        <v>0</v>
      </c>
    </row>
    <row r="413" spans="1:17">
      <c r="A413" t="s">
        <v>63</v>
      </c>
      <c r="B413" t="s">
        <v>53</v>
      </c>
      <c r="C413" t="s">
        <v>109</v>
      </c>
      <c r="D413" t="s">
        <v>79</v>
      </c>
      <c r="E413" t="s">
        <v>58</v>
      </c>
      <c r="F413" t="s">
        <v>55</v>
      </c>
      <c r="G413" t="s">
        <v>80</v>
      </c>
      <c r="H413">
        <v>0</v>
      </c>
      <c r="I413" t="s">
        <v>21</v>
      </c>
      <c r="J413">
        <v>0</v>
      </c>
      <c r="K413">
        <v>0</v>
      </c>
      <c r="L413">
        <v>0</v>
      </c>
      <c r="M413">
        <v>0</v>
      </c>
      <c r="N413" t="s">
        <v>77</v>
      </c>
      <c r="O413">
        <v>0</v>
      </c>
      <c r="P413" t="s">
        <v>77</v>
      </c>
      <c r="Q413" s="1">
        <v>0</v>
      </c>
    </row>
    <row r="414" spans="1:17">
      <c r="A414" t="s">
        <v>63</v>
      </c>
      <c r="B414" t="s">
        <v>53</v>
      </c>
      <c r="C414" t="s">
        <v>93</v>
      </c>
      <c r="D414" t="s">
        <v>75</v>
      </c>
      <c r="E414" t="s">
        <v>58</v>
      </c>
      <c r="F414" t="s">
        <v>55</v>
      </c>
      <c r="G414" t="s">
        <v>80</v>
      </c>
      <c r="H414">
        <v>0</v>
      </c>
      <c r="I414" t="s">
        <v>21</v>
      </c>
      <c r="J414">
        <v>0</v>
      </c>
      <c r="K414">
        <v>0</v>
      </c>
      <c r="L414">
        <v>0</v>
      </c>
      <c r="M414">
        <v>0</v>
      </c>
      <c r="N414" t="s">
        <v>77</v>
      </c>
      <c r="O414">
        <v>0</v>
      </c>
      <c r="P414" t="s">
        <v>77</v>
      </c>
      <c r="Q414" s="1">
        <v>0</v>
      </c>
    </row>
    <row r="415" spans="1:17">
      <c r="A415" t="s">
        <v>63</v>
      </c>
      <c r="B415" t="s">
        <v>53</v>
      </c>
      <c r="C415" t="s">
        <v>108</v>
      </c>
      <c r="D415" t="s">
        <v>79</v>
      </c>
      <c r="E415" t="s">
        <v>58</v>
      </c>
      <c r="F415" t="s">
        <v>55</v>
      </c>
      <c r="G415" t="s">
        <v>80</v>
      </c>
      <c r="H415">
        <v>0</v>
      </c>
      <c r="I415" t="s">
        <v>21</v>
      </c>
      <c r="J415">
        <v>0</v>
      </c>
      <c r="K415">
        <v>0</v>
      </c>
      <c r="L415">
        <v>0</v>
      </c>
      <c r="M415">
        <v>0</v>
      </c>
      <c r="N415" t="s">
        <v>77</v>
      </c>
      <c r="O415">
        <v>0</v>
      </c>
      <c r="P415" t="s">
        <v>77</v>
      </c>
      <c r="Q415" s="1">
        <v>0</v>
      </c>
    </row>
    <row r="416" spans="1:17">
      <c r="A416" t="s">
        <v>63</v>
      </c>
      <c r="B416" t="s">
        <v>53</v>
      </c>
      <c r="C416" t="s">
        <v>106</v>
      </c>
      <c r="D416" t="s">
        <v>82</v>
      </c>
      <c r="E416" t="s">
        <v>58</v>
      </c>
      <c r="F416" t="s">
        <v>55</v>
      </c>
      <c r="G416" t="s">
        <v>76</v>
      </c>
      <c r="H416">
        <v>0</v>
      </c>
      <c r="I416" t="s">
        <v>21</v>
      </c>
      <c r="J416">
        <v>0</v>
      </c>
      <c r="K416">
        <v>0</v>
      </c>
      <c r="L416">
        <v>0</v>
      </c>
      <c r="M416">
        <v>0</v>
      </c>
      <c r="N416" t="s">
        <v>77</v>
      </c>
      <c r="O416">
        <v>0</v>
      </c>
      <c r="P416" t="s">
        <v>77</v>
      </c>
      <c r="Q416" s="1">
        <v>0</v>
      </c>
    </row>
    <row r="417" spans="1:17">
      <c r="A417" t="s">
        <v>63</v>
      </c>
      <c r="B417" t="s">
        <v>18</v>
      </c>
      <c r="C417" t="s">
        <v>98</v>
      </c>
      <c r="D417" t="s">
        <v>75</v>
      </c>
      <c r="E417" t="s">
        <v>58</v>
      </c>
      <c r="F417" t="s">
        <v>18</v>
      </c>
      <c r="G417" t="s">
        <v>95</v>
      </c>
      <c r="H417">
        <v>0</v>
      </c>
      <c r="I417" t="s">
        <v>21</v>
      </c>
      <c r="J417">
        <v>0</v>
      </c>
      <c r="K417">
        <v>0</v>
      </c>
      <c r="L417">
        <v>0</v>
      </c>
      <c r="M417">
        <v>0</v>
      </c>
      <c r="N417" t="s">
        <v>77</v>
      </c>
      <c r="O417">
        <v>0</v>
      </c>
      <c r="P417" t="s">
        <v>77</v>
      </c>
      <c r="Q417" s="1">
        <v>0</v>
      </c>
    </row>
    <row r="418" spans="1:17">
      <c r="A418" t="s">
        <v>63</v>
      </c>
      <c r="B418" t="s">
        <v>18</v>
      </c>
      <c r="C418" t="s">
        <v>122</v>
      </c>
      <c r="D418" t="s">
        <v>79</v>
      </c>
      <c r="E418" t="s">
        <v>58</v>
      </c>
      <c r="F418" t="s">
        <v>18</v>
      </c>
      <c r="G418" t="s">
        <v>95</v>
      </c>
      <c r="H418">
        <v>0</v>
      </c>
      <c r="I418" t="s">
        <v>21</v>
      </c>
      <c r="J418">
        <v>0</v>
      </c>
      <c r="K418">
        <v>0</v>
      </c>
      <c r="L418">
        <v>0</v>
      </c>
      <c r="M418">
        <v>0</v>
      </c>
      <c r="N418" t="s">
        <v>77</v>
      </c>
      <c r="O418">
        <v>0</v>
      </c>
      <c r="P418" t="s">
        <v>77</v>
      </c>
      <c r="Q418" s="1">
        <v>0</v>
      </c>
    </row>
    <row r="419" spans="1:17">
      <c r="A419" t="s">
        <v>63</v>
      </c>
      <c r="B419" t="s">
        <v>53</v>
      </c>
      <c r="C419" t="s">
        <v>91</v>
      </c>
      <c r="D419" t="s">
        <v>82</v>
      </c>
      <c r="E419" t="s">
        <v>58</v>
      </c>
      <c r="F419" t="s">
        <v>55</v>
      </c>
      <c r="G419" t="s">
        <v>80</v>
      </c>
      <c r="H419">
        <v>0</v>
      </c>
      <c r="I419" t="s">
        <v>21</v>
      </c>
      <c r="J419">
        <v>0</v>
      </c>
      <c r="K419">
        <v>0</v>
      </c>
      <c r="L419">
        <v>0</v>
      </c>
      <c r="M419">
        <v>0</v>
      </c>
      <c r="N419" t="s">
        <v>77</v>
      </c>
      <c r="O419">
        <v>0</v>
      </c>
      <c r="P419" t="s">
        <v>77</v>
      </c>
      <c r="Q419" s="1">
        <v>0</v>
      </c>
    </row>
    <row r="420" spans="1:17">
      <c r="A420" t="s">
        <v>63</v>
      </c>
      <c r="B420" t="s">
        <v>53</v>
      </c>
      <c r="C420" t="s">
        <v>96</v>
      </c>
      <c r="D420" t="s">
        <v>75</v>
      </c>
      <c r="E420" t="s">
        <v>58</v>
      </c>
      <c r="F420" t="s">
        <v>55</v>
      </c>
      <c r="G420" t="s">
        <v>80</v>
      </c>
      <c r="H420">
        <v>0</v>
      </c>
      <c r="I420" t="s">
        <v>21</v>
      </c>
      <c r="J420">
        <v>0</v>
      </c>
      <c r="K420">
        <v>0</v>
      </c>
      <c r="L420">
        <v>0</v>
      </c>
      <c r="M420">
        <v>0</v>
      </c>
      <c r="N420" t="s">
        <v>77</v>
      </c>
      <c r="O420">
        <v>0</v>
      </c>
      <c r="P420" t="s">
        <v>77</v>
      </c>
      <c r="Q420" s="1">
        <v>0</v>
      </c>
    </row>
    <row r="421" spans="1:17">
      <c r="A421" t="s">
        <v>63</v>
      </c>
      <c r="B421" t="s">
        <v>53</v>
      </c>
      <c r="C421" t="s">
        <v>110</v>
      </c>
      <c r="D421" t="s">
        <v>82</v>
      </c>
      <c r="E421" t="s">
        <v>58</v>
      </c>
      <c r="F421" t="s">
        <v>55</v>
      </c>
      <c r="G421" t="s">
        <v>76</v>
      </c>
      <c r="H421">
        <v>0</v>
      </c>
      <c r="I421" t="s">
        <v>21</v>
      </c>
      <c r="J421">
        <v>0</v>
      </c>
      <c r="K421">
        <v>0</v>
      </c>
      <c r="L421">
        <v>0</v>
      </c>
      <c r="M421">
        <v>0</v>
      </c>
      <c r="N421" t="s">
        <v>77</v>
      </c>
      <c r="O421">
        <v>0</v>
      </c>
      <c r="P421" t="s">
        <v>77</v>
      </c>
      <c r="Q421" s="1">
        <v>0</v>
      </c>
    </row>
    <row r="422" spans="1:17">
      <c r="A422" t="s">
        <v>63</v>
      </c>
      <c r="B422" t="s">
        <v>53</v>
      </c>
      <c r="C422" t="s">
        <v>120</v>
      </c>
      <c r="D422" t="s">
        <v>79</v>
      </c>
      <c r="E422" t="s">
        <v>58</v>
      </c>
      <c r="F422" t="s">
        <v>55</v>
      </c>
      <c r="G422" t="s">
        <v>80</v>
      </c>
      <c r="H422">
        <v>0</v>
      </c>
      <c r="I422" t="s">
        <v>21</v>
      </c>
      <c r="J422">
        <v>0</v>
      </c>
      <c r="K422">
        <v>0</v>
      </c>
      <c r="L422">
        <v>0</v>
      </c>
      <c r="M422">
        <v>0</v>
      </c>
      <c r="N422" t="s">
        <v>77</v>
      </c>
      <c r="O422">
        <v>0</v>
      </c>
      <c r="P422" t="s">
        <v>77</v>
      </c>
      <c r="Q422" s="1">
        <v>0</v>
      </c>
    </row>
    <row r="423" spans="1:17">
      <c r="A423" t="s">
        <v>63</v>
      </c>
      <c r="B423" t="s">
        <v>53</v>
      </c>
      <c r="C423" t="s">
        <v>112</v>
      </c>
      <c r="D423" t="s">
        <v>82</v>
      </c>
      <c r="E423" t="s">
        <v>58</v>
      </c>
      <c r="F423" t="s">
        <v>55</v>
      </c>
      <c r="G423" t="s">
        <v>80</v>
      </c>
      <c r="H423">
        <v>0</v>
      </c>
      <c r="I423" t="s">
        <v>21</v>
      </c>
      <c r="J423">
        <v>0</v>
      </c>
      <c r="K423">
        <v>0</v>
      </c>
      <c r="L423">
        <v>0</v>
      </c>
      <c r="M423">
        <v>0</v>
      </c>
      <c r="N423" t="s">
        <v>77</v>
      </c>
      <c r="O423">
        <v>0</v>
      </c>
      <c r="P423" t="s">
        <v>77</v>
      </c>
      <c r="Q423" s="1">
        <v>0</v>
      </c>
    </row>
    <row r="424" spans="1:17">
      <c r="A424" t="s">
        <v>63</v>
      </c>
      <c r="B424" t="s">
        <v>53</v>
      </c>
      <c r="C424" t="s">
        <v>89</v>
      </c>
      <c r="D424" t="s">
        <v>82</v>
      </c>
      <c r="E424" t="s">
        <v>58</v>
      </c>
      <c r="F424" t="s">
        <v>55</v>
      </c>
      <c r="G424" t="s">
        <v>76</v>
      </c>
      <c r="H424">
        <v>0</v>
      </c>
      <c r="I424" t="s">
        <v>21</v>
      </c>
      <c r="J424">
        <v>0</v>
      </c>
      <c r="K424">
        <v>0</v>
      </c>
      <c r="L424">
        <v>0</v>
      </c>
      <c r="M424">
        <v>0</v>
      </c>
      <c r="N424" t="s">
        <v>77</v>
      </c>
      <c r="O424">
        <v>0</v>
      </c>
      <c r="P424" t="s">
        <v>77</v>
      </c>
      <c r="Q424" s="1">
        <v>0</v>
      </c>
    </row>
    <row r="425" spans="1:17">
      <c r="A425" t="s">
        <v>63</v>
      </c>
      <c r="B425" t="s">
        <v>53</v>
      </c>
      <c r="C425" t="s">
        <v>85</v>
      </c>
      <c r="D425" t="s">
        <v>82</v>
      </c>
      <c r="E425" t="s">
        <v>58</v>
      </c>
      <c r="F425" t="s">
        <v>55</v>
      </c>
      <c r="G425" t="s">
        <v>80</v>
      </c>
      <c r="H425">
        <v>0</v>
      </c>
      <c r="I425" t="s">
        <v>21</v>
      </c>
      <c r="J425">
        <v>0</v>
      </c>
      <c r="K425">
        <v>0</v>
      </c>
      <c r="L425">
        <v>0</v>
      </c>
      <c r="M425">
        <v>0</v>
      </c>
      <c r="N425" t="s">
        <v>77</v>
      </c>
      <c r="O425">
        <v>0</v>
      </c>
      <c r="P425" t="s">
        <v>77</v>
      </c>
      <c r="Q425" s="1">
        <v>0</v>
      </c>
    </row>
    <row r="426" spans="1:17">
      <c r="A426" t="s">
        <v>63</v>
      </c>
      <c r="B426" t="s">
        <v>53</v>
      </c>
      <c r="C426" t="s">
        <v>128</v>
      </c>
      <c r="D426" t="s">
        <v>79</v>
      </c>
      <c r="E426" t="s">
        <v>58</v>
      </c>
      <c r="F426" t="s">
        <v>55</v>
      </c>
      <c r="G426" t="s">
        <v>80</v>
      </c>
      <c r="H426">
        <v>0</v>
      </c>
      <c r="I426" t="s">
        <v>21</v>
      </c>
      <c r="J426">
        <v>0</v>
      </c>
      <c r="K426">
        <v>0</v>
      </c>
      <c r="L426">
        <v>0</v>
      </c>
      <c r="M426">
        <v>0</v>
      </c>
      <c r="N426" t="s">
        <v>77</v>
      </c>
      <c r="O426">
        <v>0</v>
      </c>
      <c r="P426" t="s">
        <v>77</v>
      </c>
      <c r="Q426" s="1">
        <v>0</v>
      </c>
    </row>
    <row r="427" spans="1:17">
      <c r="A427" t="s">
        <v>63</v>
      </c>
      <c r="B427" t="s">
        <v>53</v>
      </c>
      <c r="C427" t="s">
        <v>111</v>
      </c>
      <c r="D427" t="s">
        <v>75</v>
      </c>
      <c r="E427" t="s">
        <v>58</v>
      </c>
      <c r="F427" t="s">
        <v>55</v>
      </c>
      <c r="G427" t="s">
        <v>80</v>
      </c>
      <c r="H427">
        <v>0</v>
      </c>
      <c r="I427" t="s">
        <v>21</v>
      </c>
      <c r="J427">
        <v>0</v>
      </c>
      <c r="K427">
        <v>0</v>
      </c>
      <c r="L427">
        <v>0</v>
      </c>
      <c r="M427">
        <v>0</v>
      </c>
      <c r="N427" t="s">
        <v>77</v>
      </c>
      <c r="O427">
        <v>0</v>
      </c>
      <c r="P427" t="s">
        <v>77</v>
      </c>
      <c r="Q427" s="1">
        <v>0</v>
      </c>
    </row>
    <row r="428" spans="1:17">
      <c r="A428" t="s">
        <v>63</v>
      </c>
      <c r="B428" t="s">
        <v>53</v>
      </c>
      <c r="C428" t="s">
        <v>81</v>
      </c>
      <c r="D428" t="s">
        <v>82</v>
      </c>
      <c r="E428" t="s">
        <v>58</v>
      </c>
      <c r="F428" t="s">
        <v>55</v>
      </c>
      <c r="G428" t="s">
        <v>80</v>
      </c>
      <c r="H428">
        <v>0</v>
      </c>
      <c r="I428" t="s">
        <v>21</v>
      </c>
      <c r="J428">
        <v>0</v>
      </c>
      <c r="K428">
        <v>0</v>
      </c>
      <c r="L428">
        <v>0</v>
      </c>
      <c r="M428">
        <v>0</v>
      </c>
      <c r="N428" t="s">
        <v>77</v>
      </c>
      <c r="O428">
        <v>0</v>
      </c>
      <c r="P428" t="s">
        <v>77</v>
      </c>
      <c r="Q428" s="1">
        <v>0</v>
      </c>
    </row>
    <row r="429" spans="1:17">
      <c r="A429" t="s">
        <v>63</v>
      </c>
      <c r="B429" t="s">
        <v>53</v>
      </c>
      <c r="C429" t="s">
        <v>105</v>
      </c>
      <c r="D429" t="s">
        <v>75</v>
      </c>
      <c r="E429" t="s">
        <v>58</v>
      </c>
      <c r="F429" t="s">
        <v>55</v>
      </c>
      <c r="G429" t="s">
        <v>76</v>
      </c>
      <c r="H429">
        <v>0</v>
      </c>
      <c r="I429" t="s">
        <v>21</v>
      </c>
      <c r="J429">
        <v>0</v>
      </c>
      <c r="K429">
        <v>0</v>
      </c>
      <c r="L429">
        <v>0</v>
      </c>
      <c r="M429">
        <v>0</v>
      </c>
      <c r="N429" t="s">
        <v>77</v>
      </c>
      <c r="O429">
        <v>0</v>
      </c>
      <c r="P429" t="s">
        <v>77</v>
      </c>
      <c r="Q429" s="1">
        <v>0</v>
      </c>
    </row>
    <row r="430" spans="1:17">
      <c r="A430" t="s">
        <v>63</v>
      </c>
      <c r="B430" t="s">
        <v>53</v>
      </c>
      <c r="C430" t="s">
        <v>103</v>
      </c>
      <c r="D430" t="s">
        <v>79</v>
      </c>
      <c r="E430" t="s">
        <v>58</v>
      </c>
      <c r="F430" t="s">
        <v>55</v>
      </c>
      <c r="G430" t="s">
        <v>80</v>
      </c>
      <c r="H430">
        <v>0</v>
      </c>
      <c r="I430" t="s">
        <v>21</v>
      </c>
      <c r="J430">
        <v>0</v>
      </c>
      <c r="K430">
        <v>0</v>
      </c>
      <c r="L430">
        <v>0</v>
      </c>
      <c r="M430">
        <v>0</v>
      </c>
      <c r="N430" t="s">
        <v>77</v>
      </c>
      <c r="O430">
        <v>0</v>
      </c>
      <c r="P430" t="s">
        <v>77</v>
      </c>
      <c r="Q430" s="1">
        <v>0</v>
      </c>
    </row>
    <row r="431" spans="1:17">
      <c r="A431" t="s">
        <v>63</v>
      </c>
      <c r="B431" t="s">
        <v>18</v>
      </c>
      <c r="C431" t="s">
        <v>101</v>
      </c>
      <c r="D431" t="s">
        <v>75</v>
      </c>
      <c r="E431" t="s">
        <v>58</v>
      </c>
      <c r="F431" t="s">
        <v>18</v>
      </c>
      <c r="G431" t="s">
        <v>95</v>
      </c>
      <c r="H431">
        <v>0</v>
      </c>
      <c r="I431" t="s">
        <v>21</v>
      </c>
      <c r="J431">
        <v>0</v>
      </c>
      <c r="K431">
        <v>0</v>
      </c>
      <c r="L431">
        <v>0</v>
      </c>
      <c r="M431">
        <v>0</v>
      </c>
      <c r="N431" t="s">
        <v>77</v>
      </c>
      <c r="O431">
        <v>0</v>
      </c>
      <c r="P431" t="s">
        <v>77</v>
      </c>
      <c r="Q431" s="1">
        <v>0</v>
      </c>
    </row>
    <row r="432" spans="1:17">
      <c r="A432" t="s">
        <v>63</v>
      </c>
      <c r="B432" t="s">
        <v>53</v>
      </c>
      <c r="C432" t="s">
        <v>102</v>
      </c>
      <c r="D432" t="s">
        <v>82</v>
      </c>
      <c r="E432" t="s">
        <v>58</v>
      </c>
      <c r="F432" t="s">
        <v>55</v>
      </c>
      <c r="G432" t="s">
        <v>80</v>
      </c>
      <c r="H432">
        <v>0</v>
      </c>
      <c r="I432" t="s">
        <v>21</v>
      </c>
      <c r="J432">
        <v>0</v>
      </c>
      <c r="K432">
        <v>0</v>
      </c>
      <c r="L432">
        <v>0</v>
      </c>
      <c r="M432">
        <v>0</v>
      </c>
      <c r="N432" t="s">
        <v>77</v>
      </c>
      <c r="O432">
        <v>0</v>
      </c>
      <c r="P432" t="s">
        <v>77</v>
      </c>
      <c r="Q432" s="1">
        <v>0</v>
      </c>
    </row>
    <row r="433" spans="1:17">
      <c r="A433" t="s">
        <v>63</v>
      </c>
      <c r="B433" t="s">
        <v>18</v>
      </c>
      <c r="C433" t="s">
        <v>99</v>
      </c>
      <c r="D433" t="s">
        <v>82</v>
      </c>
      <c r="E433" t="s">
        <v>58</v>
      </c>
      <c r="F433" t="s">
        <v>18</v>
      </c>
      <c r="G433" t="s">
        <v>95</v>
      </c>
      <c r="H433">
        <v>0</v>
      </c>
      <c r="I433" t="s">
        <v>21</v>
      </c>
      <c r="J433">
        <v>0</v>
      </c>
      <c r="K433">
        <v>0</v>
      </c>
      <c r="L433">
        <v>0</v>
      </c>
      <c r="M433">
        <v>0</v>
      </c>
      <c r="N433" t="s">
        <v>77</v>
      </c>
      <c r="O433">
        <v>0</v>
      </c>
      <c r="P433" t="s">
        <v>77</v>
      </c>
      <c r="Q433" s="1">
        <v>0</v>
      </c>
    </row>
    <row r="434" spans="1:17">
      <c r="A434" t="s">
        <v>63</v>
      </c>
      <c r="B434" t="s">
        <v>53</v>
      </c>
      <c r="C434" t="s">
        <v>121</v>
      </c>
      <c r="D434" t="s">
        <v>75</v>
      </c>
      <c r="E434" t="s">
        <v>58</v>
      </c>
      <c r="F434" t="s">
        <v>55</v>
      </c>
      <c r="G434" t="s">
        <v>80</v>
      </c>
      <c r="H434">
        <v>0</v>
      </c>
      <c r="I434" t="s">
        <v>21</v>
      </c>
      <c r="J434">
        <v>0</v>
      </c>
      <c r="K434">
        <v>0</v>
      </c>
      <c r="L434">
        <v>0</v>
      </c>
      <c r="M434">
        <v>0</v>
      </c>
      <c r="N434" t="s">
        <v>77</v>
      </c>
      <c r="O434">
        <v>0</v>
      </c>
      <c r="P434" t="s">
        <v>77</v>
      </c>
      <c r="Q434" s="1">
        <v>0</v>
      </c>
    </row>
    <row r="435" spans="1:17">
      <c r="A435" t="s">
        <v>63</v>
      </c>
      <c r="B435" t="s">
        <v>53</v>
      </c>
      <c r="C435" t="s">
        <v>86</v>
      </c>
      <c r="D435" t="s">
        <v>75</v>
      </c>
      <c r="E435" t="s">
        <v>58</v>
      </c>
      <c r="F435" t="s">
        <v>55</v>
      </c>
      <c r="G435" t="s">
        <v>80</v>
      </c>
      <c r="H435">
        <v>0</v>
      </c>
      <c r="I435" t="s">
        <v>21</v>
      </c>
      <c r="J435">
        <v>0</v>
      </c>
      <c r="K435">
        <v>0</v>
      </c>
      <c r="L435">
        <v>0</v>
      </c>
      <c r="M435">
        <v>0</v>
      </c>
      <c r="N435" t="s">
        <v>77</v>
      </c>
      <c r="O435">
        <v>0</v>
      </c>
      <c r="P435" t="s">
        <v>77</v>
      </c>
      <c r="Q435" s="1">
        <v>0</v>
      </c>
    </row>
    <row r="436" spans="1:17">
      <c r="A436" t="s">
        <v>63</v>
      </c>
      <c r="B436" t="s">
        <v>53</v>
      </c>
      <c r="C436" t="s">
        <v>104</v>
      </c>
      <c r="D436" t="s">
        <v>75</v>
      </c>
      <c r="E436" t="s">
        <v>58</v>
      </c>
      <c r="F436" t="s">
        <v>55</v>
      </c>
      <c r="G436" t="s">
        <v>80</v>
      </c>
      <c r="H436">
        <v>0</v>
      </c>
      <c r="I436" t="s">
        <v>21</v>
      </c>
      <c r="J436">
        <v>0</v>
      </c>
      <c r="K436">
        <v>0</v>
      </c>
      <c r="L436">
        <v>0</v>
      </c>
      <c r="M436">
        <v>0</v>
      </c>
      <c r="N436" t="s">
        <v>77</v>
      </c>
      <c r="O436">
        <v>0</v>
      </c>
      <c r="P436" t="s">
        <v>77</v>
      </c>
      <c r="Q436" s="1">
        <v>0</v>
      </c>
    </row>
    <row r="437" spans="1:17">
      <c r="A437" t="s">
        <v>63</v>
      </c>
      <c r="B437" t="s">
        <v>53</v>
      </c>
      <c r="C437" t="s">
        <v>92</v>
      </c>
      <c r="D437" t="s">
        <v>75</v>
      </c>
      <c r="E437" t="s">
        <v>58</v>
      </c>
      <c r="F437" t="s">
        <v>55</v>
      </c>
      <c r="G437" t="s">
        <v>80</v>
      </c>
      <c r="H437">
        <v>0</v>
      </c>
      <c r="I437" t="s">
        <v>21</v>
      </c>
      <c r="J437">
        <v>0</v>
      </c>
      <c r="K437">
        <v>0</v>
      </c>
      <c r="L437">
        <v>0</v>
      </c>
      <c r="M437">
        <v>0</v>
      </c>
      <c r="N437" t="s">
        <v>77</v>
      </c>
      <c r="O437">
        <v>0</v>
      </c>
      <c r="P437" t="s">
        <v>77</v>
      </c>
      <c r="Q437" s="1">
        <v>0</v>
      </c>
    </row>
    <row r="438" spans="1:17">
      <c r="A438" t="s">
        <v>63</v>
      </c>
      <c r="B438" t="s">
        <v>53</v>
      </c>
      <c r="C438" t="s">
        <v>83</v>
      </c>
      <c r="D438" t="s">
        <v>75</v>
      </c>
      <c r="E438" t="s">
        <v>58</v>
      </c>
      <c r="F438" t="s">
        <v>55</v>
      </c>
      <c r="G438" t="s">
        <v>80</v>
      </c>
      <c r="H438">
        <v>0</v>
      </c>
      <c r="I438" t="s">
        <v>21</v>
      </c>
      <c r="J438">
        <v>0</v>
      </c>
      <c r="K438">
        <v>0</v>
      </c>
      <c r="L438">
        <v>0</v>
      </c>
      <c r="M438">
        <v>0</v>
      </c>
      <c r="N438" t="s">
        <v>77</v>
      </c>
      <c r="O438">
        <v>0</v>
      </c>
      <c r="P438" t="s">
        <v>77</v>
      </c>
      <c r="Q438" s="1">
        <v>0</v>
      </c>
    </row>
    <row r="439" spans="1:17">
      <c r="A439" t="s">
        <v>63</v>
      </c>
      <c r="B439" t="s">
        <v>18</v>
      </c>
      <c r="C439" t="s">
        <v>94</v>
      </c>
      <c r="D439" t="s">
        <v>82</v>
      </c>
      <c r="E439" t="s">
        <v>58</v>
      </c>
      <c r="F439" t="s">
        <v>18</v>
      </c>
      <c r="G439" t="s">
        <v>95</v>
      </c>
      <c r="H439">
        <v>0</v>
      </c>
      <c r="I439" t="s">
        <v>21</v>
      </c>
      <c r="J439">
        <v>0</v>
      </c>
      <c r="K439">
        <v>0</v>
      </c>
      <c r="L439">
        <v>0</v>
      </c>
      <c r="M439">
        <v>0</v>
      </c>
      <c r="N439" t="s">
        <v>77</v>
      </c>
      <c r="O439">
        <v>0</v>
      </c>
      <c r="P439" t="s">
        <v>77</v>
      </c>
      <c r="Q439" s="1">
        <v>0</v>
      </c>
    </row>
    <row r="440" spans="1:17">
      <c r="A440" t="s">
        <v>63</v>
      </c>
      <c r="B440" t="s">
        <v>53</v>
      </c>
      <c r="C440" t="s">
        <v>100</v>
      </c>
      <c r="D440" t="s">
        <v>82</v>
      </c>
      <c r="E440" t="s">
        <v>58</v>
      </c>
      <c r="F440" t="s">
        <v>55</v>
      </c>
      <c r="G440" t="s">
        <v>80</v>
      </c>
      <c r="H440">
        <v>0</v>
      </c>
      <c r="I440" t="s">
        <v>21</v>
      </c>
      <c r="J440">
        <v>0</v>
      </c>
      <c r="K440">
        <v>0</v>
      </c>
      <c r="L440">
        <v>0</v>
      </c>
      <c r="M440">
        <v>0</v>
      </c>
      <c r="N440" t="s">
        <v>77</v>
      </c>
      <c r="O440">
        <v>0</v>
      </c>
      <c r="P440" t="s">
        <v>77</v>
      </c>
      <c r="Q440" s="1">
        <v>0</v>
      </c>
    </row>
    <row r="441" spans="1:17">
      <c r="A441" t="s">
        <v>63</v>
      </c>
      <c r="B441" t="s">
        <v>53</v>
      </c>
      <c r="C441" t="s">
        <v>123</v>
      </c>
      <c r="D441" t="s">
        <v>82</v>
      </c>
      <c r="E441" t="s">
        <v>58</v>
      </c>
      <c r="F441" t="s">
        <v>55</v>
      </c>
      <c r="G441" t="s">
        <v>80</v>
      </c>
      <c r="H441">
        <v>0</v>
      </c>
      <c r="I441" t="s">
        <v>21</v>
      </c>
      <c r="J441">
        <v>0</v>
      </c>
      <c r="K441">
        <v>0</v>
      </c>
      <c r="L441">
        <v>0</v>
      </c>
      <c r="M441">
        <v>0</v>
      </c>
      <c r="N441" t="s">
        <v>77</v>
      </c>
      <c r="O441">
        <v>0</v>
      </c>
      <c r="P441" t="s">
        <v>77</v>
      </c>
      <c r="Q441" s="1">
        <v>0</v>
      </c>
    </row>
    <row r="442" spans="1:17">
      <c r="A442" t="s">
        <v>63</v>
      </c>
      <c r="B442" t="s">
        <v>53</v>
      </c>
      <c r="C442" t="s">
        <v>126</v>
      </c>
      <c r="D442" t="s">
        <v>75</v>
      </c>
      <c r="E442" t="s">
        <v>58</v>
      </c>
      <c r="F442" t="s">
        <v>55</v>
      </c>
      <c r="G442" t="s">
        <v>80</v>
      </c>
      <c r="H442">
        <v>0</v>
      </c>
      <c r="I442" t="s">
        <v>21</v>
      </c>
      <c r="J442">
        <v>0</v>
      </c>
      <c r="K442">
        <v>0</v>
      </c>
      <c r="L442">
        <v>0</v>
      </c>
      <c r="M442">
        <v>0</v>
      </c>
      <c r="N442" t="s">
        <v>77</v>
      </c>
      <c r="O442">
        <v>0</v>
      </c>
      <c r="P442" t="s">
        <v>77</v>
      </c>
      <c r="Q442" s="1">
        <v>0</v>
      </c>
    </row>
    <row r="443" spans="1:17">
      <c r="A443" t="s">
        <v>63</v>
      </c>
      <c r="B443" t="s">
        <v>53</v>
      </c>
      <c r="C443" t="s">
        <v>84</v>
      </c>
      <c r="D443" t="s">
        <v>79</v>
      </c>
      <c r="E443" t="s">
        <v>58</v>
      </c>
      <c r="F443" t="s">
        <v>55</v>
      </c>
      <c r="G443" t="s">
        <v>76</v>
      </c>
      <c r="H443">
        <v>0</v>
      </c>
      <c r="I443" t="s">
        <v>21</v>
      </c>
      <c r="J443">
        <v>0</v>
      </c>
      <c r="K443">
        <v>0</v>
      </c>
      <c r="L443">
        <v>0</v>
      </c>
      <c r="M443">
        <v>0</v>
      </c>
      <c r="N443" t="s">
        <v>77</v>
      </c>
      <c r="O443">
        <v>0</v>
      </c>
      <c r="P443" t="s">
        <v>77</v>
      </c>
      <c r="Q443" s="1">
        <v>0</v>
      </c>
    </row>
    <row r="444" spans="1:17">
      <c r="A444" t="s">
        <v>63</v>
      </c>
      <c r="B444" t="s">
        <v>53</v>
      </c>
      <c r="C444" t="s">
        <v>117</v>
      </c>
      <c r="D444" t="s">
        <v>79</v>
      </c>
      <c r="E444" t="s">
        <v>58</v>
      </c>
      <c r="F444" t="s">
        <v>55</v>
      </c>
      <c r="G444" t="s">
        <v>80</v>
      </c>
      <c r="H444">
        <v>0</v>
      </c>
      <c r="I444" t="s">
        <v>21</v>
      </c>
      <c r="J444">
        <v>0</v>
      </c>
      <c r="K444">
        <v>0</v>
      </c>
      <c r="L444">
        <v>0</v>
      </c>
      <c r="M444">
        <v>0</v>
      </c>
      <c r="N444" t="s">
        <v>77</v>
      </c>
      <c r="O444">
        <v>0</v>
      </c>
      <c r="P444" t="s">
        <v>77</v>
      </c>
      <c r="Q444" s="1">
        <v>0</v>
      </c>
    </row>
    <row r="445" spans="1:17">
      <c r="A445" t="s">
        <v>63</v>
      </c>
      <c r="B445" t="s">
        <v>53</v>
      </c>
      <c r="C445" t="s">
        <v>351</v>
      </c>
      <c r="D445" t="s">
        <v>79</v>
      </c>
      <c r="E445" t="s">
        <v>57</v>
      </c>
      <c r="F445" t="s">
        <v>55</v>
      </c>
      <c r="G445" t="s">
        <v>130</v>
      </c>
      <c r="H445">
        <v>0</v>
      </c>
      <c r="I445" t="s">
        <v>21</v>
      </c>
      <c r="J445">
        <v>0</v>
      </c>
      <c r="K445">
        <v>0</v>
      </c>
      <c r="L445">
        <v>0</v>
      </c>
      <c r="M445">
        <v>1</v>
      </c>
      <c r="N445" s="1">
        <v>0</v>
      </c>
      <c r="O445">
        <v>0</v>
      </c>
      <c r="P445" t="s">
        <v>77</v>
      </c>
      <c r="Q445" s="1">
        <v>0</v>
      </c>
    </row>
    <row r="446" spans="1:17">
      <c r="A446" t="s">
        <v>63</v>
      </c>
      <c r="B446" t="s">
        <v>53</v>
      </c>
      <c r="C446" t="s">
        <v>363</v>
      </c>
      <c r="D446" t="s">
        <v>75</v>
      </c>
      <c r="E446" t="s">
        <v>57</v>
      </c>
      <c r="F446" t="s">
        <v>55</v>
      </c>
      <c r="G446" t="s">
        <v>130</v>
      </c>
      <c r="H446">
        <v>0</v>
      </c>
      <c r="I446" t="s">
        <v>21</v>
      </c>
      <c r="J446">
        <v>0</v>
      </c>
      <c r="K446">
        <v>0</v>
      </c>
      <c r="L446">
        <v>0</v>
      </c>
      <c r="M446">
        <v>23</v>
      </c>
      <c r="N446" s="1">
        <v>0</v>
      </c>
      <c r="O446">
        <v>0</v>
      </c>
      <c r="P446">
        <v>5</v>
      </c>
      <c r="Q446" s="1">
        <v>0</v>
      </c>
    </row>
    <row r="447" spans="1:17">
      <c r="A447" t="s">
        <v>63</v>
      </c>
      <c r="B447" t="s">
        <v>53</v>
      </c>
      <c r="C447" t="s">
        <v>364</v>
      </c>
      <c r="D447" t="s">
        <v>82</v>
      </c>
      <c r="E447" t="s">
        <v>57</v>
      </c>
      <c r="F447" t="s">
        <v>55</v>
      </c>
      <c r="G447" t="s">
        <v>130</v>
      </c>
      <c r="H447">
        <v>0</v>
      </c>
      <c r="I447" t="s">
        <v>21</v>
      </c>
      <c r="J447">
        <v>0</v>
      </c>
      <c r="K447">
        <v>0</v>
      </c>
      <c r="L447">
        <v>0</v>
      </c>
      <c r="M447">
        <v>3</v>
      </c>
      <c r="N447" s="1">
        <v>0</v>
      </c>
      <c r="O447">
        <v>0</v>
      </c>
      <c r="P447" t="s">
        <v>77</v>
      </c>
      <c r="Q447" s="1">
        <v>0</v>
      </c>
    </row>
    <row r="448" spans="1:17">
      <c r="A448" t="s">
        <v>63</v>
      </c>
      <c r="B448" t="s">
        <v>53</v>
      </c>
      <c r="C448" t="s">
        <v>346</v>
      </c>
      <c r="D448" t="s">
        <v>79</v>
      </c>
      <c r="E448" t="s">
        <v>57</v>
      </c>
      <c r="F448" t="s">
        <v>55</v>
      </c>
      <c r="G448" t="s">
        <v>130</v>
      </c>
      <c r="H448">
        <v>0</v>
      </c>
      <c r="I448" t="s">
        <v>21</v>
      </c>
      <c r="J448">
        <v>0</v>
      </c>
      <c r="K448">
        <v>0</v>
      </c>
      <c r="L448">
        <v>0</v>
      </c>
      <c r="M448">
        <v>0</v>
      </c>
      <c r="N448" t="s">
        <v>77</v>
      </c>
      <c r="O448">
        <v>0</v>
      </c>
      <c r="P448" t="s">
        <v>77</v>
      </c>
      <c r="Q448" s="1">
        <v>0</v>
      </c>
    </row>
    <row r="449" spans="1:17">
      <c r="A449" t="s">
        <v>63</v>
      </c>
      <c r="B449" t="s">
        <v>53</v>
      </c>
      <c r="C449" t="s">
        <v>343</v>
      </c>
      <c r="D449" t="s">
        <v>75</v>
      </c>
      <c r="E449" t="s">
        <v>57</v>
      </c>
      <c r="F449" t="s">
        <v>55</v>
      </c>
      <c r="G449" t="s">
        <v>130</v>
      </c>
      <c r="H449">
        <v>0</v>
      </c>
      <c r="I449" t="s">
        <v>21</v>
      </c>
      <c r="J449">
        <v>0</v>
      </c>
      <c r="K449">
        <v>0</v>
      </c>
      <c r="L449">
        <v>0</v>
      </c>
      <c r="M449">
        <v>0</v>
      </c>
      <c r="N449" t="s">
        <v>77</v>
      </c>
      <c r="O449">
        <v>0</v>
      </c>
      <c r="P449" t="s">
        <v>77</v>
      </c>
      <c r="Q449" s="1">
        <v>0</v>
      </c>
    </row>
    <row r="450" spans="1:17">
      <c r="A450" t="s">
        <v>63</v>
      </c>
      <c r="B450" t="s">
        <v>53</v>
      </c>
      <c r="C450" t="s">
        <v>358</v>
      </c>
      <c r="D450" t="s">
        <v>79</v>
      </c>
      <c r="E450" t="s">
        <v>57</v>
      </c>
      <c r="F450" t="s">
        <v>55</v>
      </c>
      <c r="G450" t="s">
        <v>130</v>
      </c>
      <c r="H450">
        <v>0</v>
      </c>
      <c r="I450" t="s">
        <v>21</v>
      </c>
      <c r="J450">
        <v>0</v>
      </c>
      <c r="K450">
        <v>0</v>
      </c>
      <c r="L450">
        <v>0</v>
      </c>
      <c r="M450">
        <v>0</v>
      </c>
      <c r="N450" t="s">
        <v>77</v>
      </c>
      <c r="O450">
        <v>0</v>
      </c>
      <c r="P450" t="s">
        <v>77</v>
      </c>
      <c r="Q450" s="1">
        <v>0</v>
      </c>
    </row>
    <row r="451" spans="1:17">
      <c r="A451" t="s">
        <v>63</v>
      </c>
      <c r="B451" t="s">
        <v>53</v>
      </c>
      <c r="C451" t="s">
        <v>356</v>
      </c>
      <c r="D451" t="s">
        <v>82</v>
      </c>
      <c r="E451" t="s">
        <v>57</v>
      </c>
      <c r="F451" t="s">
        <v>55</v>
      </c>
      <c r="G451" t="s">
        <v>130</v>
      </c>
      <c r="H451">
        <v>0</v>
      </c>
      <c r="I451" t="s">
        <v>21</v>
      </c>
      <c r="J451">
        <v>0</v>
      </c>
      <c r="K451">
        <v>0</v>
      </c>
      <c r="L451">
        <v>0</v>
      </c>
      <c r="M451">
        <v>0</v>
      </c>
      <c r="N451" t="s">
        <v>77</v>
      </c>
      <c r="O451">
        <v>0</v>
      </c>
      <c r="P451" t="s">
        <v>77</v>
      </c>
      <c r="Q451" s="1">
        <v>0</v>
      </c>
    </row>
    <row r="452" spans="1:17">
      <c r="A452" t="s">
        <v>63</v>
      </c>
      <c r="B452" t="s">
        <v>53</v>
      </c>
      <c r="C452" t="s">
        <v>354</v>
      </c>
      <c r="D452" t="s">
        <v>75</v>
      </c>
      <c r="E452" t="s">
        <v>57</v>
      </c>
      <c r="F452" t="s">
        <v>55</v>
      </c>
      <c r="G452" t="s">
        <v>130</v>
      </c>
      <c r="H452">
        <v>0</v>
      </c>
      <c r="I452" t="s">
        <v>21</v>
      </c>
      <c r="J452">
        <v>0</v>
      </c>
      <c r="K452">
        <v>0</v>
      </c>
      <c r="L452">
        <v>0</v>
      </c>
      <c r="M452">
        <v>2</v>
      </c>
      <c r="N452" s="1">
        <v>0</v>
      </c>
      <c r="O452">
        <v>0</v>
      </c>
      <c r="P452" t="s">
        <v>77</v>
      </c>
      <c r="Q452" s="1">
        <v>0</v>
      </c>
    </row>
    <row r="453" spans="1:17">
      <c r="A453" t="s">
        <v>63</v>
      </c>
      <c r="B453" t="s">
        <v>53</v>
      </c>
      <c r="C453" t="s">
        <v>347</v>
      </c>
      <c r="D453" t="s">
        <v>75</v>
      </c>
      <c r="E453" t="s">
        <v>57</v>
      </c>
      <c r="F453" t="s">
        <v>55</v>
      </c>
      <c r="G453" t="s">
        <v>130</v>
      </c>
      <c r="H453">
        <v>0</v>
      </c>
      <c r="I453" t="s">
        <v>21</v>
      </c>
      <c r="J453">
        <v>0</v>
      </c>
      <c r="K453">
        <v>0</v>
      </c>
      <c r="L453">
        <v>0</v>
      </c>
      <c r="M453">
        <v>0</v>
      </c>
      <c r="N453" t="s">
        <v>77</v>
      </c>
      <c r="O453">
        <v>0</v>
      </c>
      <c r="P453" t="s">
        <v>77</v>
      </c>
      <c r="Q453" s="1">
        <v>0</v>
      </c>
    </row>
    <row r="454" spans="1:17">
      <c r="A454" t="s">
        <v>63</v>
      </c>
      <c r="B454" t="s">
        <v>53</v>
      </c>
      <c r="C454" t="s">
        <v>353</v>
      </c>
      <c r="D454" t="s">
        <v>82</v>
      </c>
      <c r="E454" t="s">
        <v>57</v>
      </c>
      <c r="F454" t="s">
        <v>55</v>
      </c>
      <c r="G454" t="s">
        <v>130</v>
      </c>
      <c r="H454">
        <v>0</v>
      </c>
      <c r="I454" t="s">
        <v>21</v>
      </c>
      <c r="J454">
        <v>0</v>
      </c>
      <c r="K454">
        <v>0</v>
      </c>
      <c r="L454">
        <v>0</v>
      </c>
      <c r="M454">
        <v>0</v>
      </c>
      <c r="N454" t="s">
        <v>77</v>
      </c>
      <c r="O454">
        <v>0</v>
      </c>
      <c r="P454" t="s">
        <v>77</v>
      </c>
      <c r="Q454" s="1">
        <v>0</v>
      </c>
    </row>
    <row r="455" spans="1:17">
      <c r="A455" t="s">
        <v>63</v>
      </c>
      <c r="B455" t="s">
        <v>53</v>
      </c>
      <c r="C455" t="s">
        <v>355</v>
      </c>
      <c r="D455" t="s">
        <v>82</v>
      </c>
      <c r="E455" t="s">
        <v>57</v>
      </c>
      <c r="F455" t="s">
        <v>55</v>
      </c>
      <c r="G455" t="s">
        <v>130</v>
      </c>
      <c r="H455">
        <v>0</v>
      </c>
      <c r="I455" t="s">
        <v>21</v>
      </c>
      <c r="J455">
        <v>0</v>
      </c>
      <c r="K455">
        <v>0</v>
      </c>
      <c r="L455">
        <v>0</v>
      </c>
      <c r="M455">
        <v>2</v>
      </c>
      <c r="N455" s="1">
        <v>0</v>
      </c>
      <c r="O455">
        <v>0</v>
      </c>
      <c r="P455" t="s">
        <v>77</v>
      </c>
      <c r="Q455" s="1">
        <v>0</v>
      </c>
    </row>
    <row r="456" spans="1:17">
      <c r="A456" t="s">
        <v>63</v>
      </c>
      <c r="B456" t="s">
        <v>53</v>
      </c>
      <c r="C456" t="s">
        <v>359</v>
      </c>
      <c r="D456" t="s">
        <v>75</v>
      </c>
      <c r="E456" t="s">
        <v>57</v>
      </c>
      <c r="F456" t="s">
        <v>55</v>
      </c>
      <c r="G456" t="s">
        <v>130</v>
      </c>
      <c r="H456">
        <v>0</v>
      </c>
      <c r="I456" t="s">
        <v>21</v>
      </c>
      <c r="J456">
        <v>0</v>
      </c>
      <c r="K456">
        <v>0</v>
      </c>
      <c r="L456">
        <v>0</v>
      </c>
      <c r="M456">
        <v>0</v>
      </c>
      <c r="N456" t="s">
        <v>77</v>
      </c>
      <c r="O456">
        <v>0</v>
      </c>
      <c r="P456" t="s">
        <v>77</v>
      </c>
      <c r="Q456" s="1">
        <v>0</v>
      </c>
    </row>
    <row r="457" spans="1:17">
      <c r="A457" t="s">
        <v>63</v>
      </c>
      <c r="B457" t="s">
        <v>53</v>
      </c>
      <c r="C457" t="s">
        <v>360</v>
      </c>
      <c r="D457" t="s">
        <v>75</v>
      </c>
      <c r="E457" t="s">
        <v>57</v>
      </c>
      <c r="F457" t="s">
        <v>55</v>
      </c>
      <c r="G457" t="s">
        <v>130</v>
      </c>
      <c r="H457">
        <v>0</v>
      </c>
      <c r="I457" t="s">
        <v>21</v>
      </c>
      <c r="J457">
        <v>0</v>
      </c>
      <c r="K457">
        <v>0</v>
      </c>
      <c r="L457">
        <v>0</v>
      </c>
      <c r="M457">
        <v>0</v>
      </c>
      <c r="N457" t="s">
        <v>77</v>
      </c>
      <c r="O457">
        <v>0</v>
      </c>
      <c r="P457" t="s">
        <v>77</v>
      </c>
      <c r="Q457" s="1">
        <v>0</v>
      </c>
    </row>
    <row r="458" spans="1:17">
      <c r="A458" t="s">
        <v>63</v>
      </c>
      <c r="B458" t="s">
        <v>53</v>
      </c>
      <c r="C458" t="s">
        <v>361</v>
      </c>
      <c r="D458" t="s">
        <v>82</v>
      </c>
      <c r="E458" t="s">
        <v>57</v>
      </c>
      <c r="F458" t="s">
        <v>55</v>
      </c>
      <c r="G458" t="s">
        <v>130</v>
      </c>
      <c r="H458">
        <v>0</v>
      </c>
      <c r="I458" t="s">
        <v>21</v>
      </c>
      <c r="J458">
        <v>0</v>
      </c>
      <c r="K458">
        <v>0</v>
      </c>
      <c r="L458">
        <v>0</v>
      </c>
      <c r="M458">
        <v>0</v>
      </c>
      <c r="N458" t="s">
        <v>77</v>
      </c>
      <c r="O458">
        <v>0</v>
      </c>
      <c r="P458" t="s">
        <v>77</v>
      </c>
      <c r="Q458" s="1">
        <v>0</v>
      </c>
    </row>
    <row r="459" spans="1:17">
      <c r="A459" t="s">
        <v>63</v>
      </c>
      <c r="B459" t="s">
        <v>53</v>
      </c>
      <c r="C459" t="s">
        <v>352</v>
      </c>
      <c r="D459" t="s">
        <v>79</v>
      </c>
      <c r="E459" t="s">
        <v>57</v>
      </c>
      <c r="F459" t="s">
        <v>55</v>
      </c>
      <c r="G459" t="s">
        <v>130</v>
      </c>
      <c r="H459">
        <v>0</v>
      </c>
      <c r="I459" t="s">
        <v>21</v>
      </c>
      <c r="J459">
        <v>0</v>
      </c>
      <c r="K459">
        <v>0</v>
      </c>
      <c r="L459">
        <v>0</v>
      </c>
      <c r="M459">
        <v>0</v>
      </c>
      <c r="N459" t="s">
        <v>77</v>
      </c>
      <c r="O459">
        <v>0</v>
      </c>
      <c r="P459" t="s">
        <v>77</v>
      </c>
      <c r="Q459" s="1">
        <v>0</v>
      </c>
    </row>
    <row r="460" spans="1:17">
      <c r="A460" t="s">
        <v>63</v>
      </c>
      <c r="B460" t="s">
        <v>53</v>
      </c>
      <c r="C460" t="s">
        <v>348</v>
      </c>
      <c r="D460" t="s">
        <v>75</v>
      </c>
      <c r="E460" t="s">
        <v>57</v>
      </c>
      <c r="F460" t="s">
        <v>55</v>
      </c>
      <c r="G460" t="s">
        <v>130</v>
      </c>
      <c r="H460">
        <v>0</v>
      </c>
      <c r="I460" t="s">
        <v>21</v>
      </c>
      <c r="J460">
        <v>0</v>
      </c>
      <c r="K460">
        <v>0</v>
      </c>
      <c r="L460">
        <v>0</v>
      </c>
      <c r="M460">
        <v>0</v>
      </c>
      <c r="N460" t="s">
        <v>77</v>
      </c>
      <c r="O460">
        <v>0</v>
      </c>
      <c r="P460" t="s">
        <v>77</v>
      </c>
      <c r="Q460" s="1">
        <v>0</v>
      </c>
    </row>
    <row r="461" spans="1:17">
      <c r="A461" t="s">
        <v>63</v>
      </c>
      <c r="B461" t="s">
        <v>53</v>
      </c>
      <c r="C461" t="s">
        <v>349</v>
      </c>
      <c r="D461" t="s">
        <v>79</v>
      </c>
      <c r="E461" t="s">
        <v>57</v>
      </c>
      <c r="F461" t="s">
        <v>55</v>
      </c>
      <c r="G461" t="s">
        <v>130</v>
      </c>
      <c r="H461">
        <v>0</v>
      </c>
      <c r="I461" t="s">
        <v>21</v>
      </c>
      <c r="J461">
        <v>0</v>
      </c>
      <c r="K461">
        <v>0</v>
      </c>
      <c r="L461">
        <v>0</v>
      </c>
      <c r="M461">
        <v>0</v>
      </c>
      <c r="N461" t="s">
        <v>77</v>
      </c>
      <c r="O461">
        <v>0</v>
      </c>
      <c r="P461" t="s">
        <v>77</v>
      </c>
      <c r="Q461" s="1">
        <v>0</v>
      </c>
    </row>
    <row r="462" spans="1:17">
      <c r="A462" t="s">
        <v>63</v>
      </c>
      <c r="B462" t="s">
        <v>53</v>
      </c>
      <c r="C462" t="s">
        <v>344</v>
      </c>
      <c r="D462" t="s">
        <v>82</v>
      </c>
      <c r="E462" t="s">
        <v>57</v>
      </c>
      <c r="F462" t="s">
        <v>55</v>
      </c>
      <c r="G462" t="s">
        <v>130</v>
      </c>
      <c r="H462">
        <v>0</v>
      </c>
      <c r="I462" t="s">
        <v>21</v>
      </c>
      <c r="J462">
        <v>0</v>
      </c>
      <c r="K462">
        <v>0</v>
      </c>
      <c r="L462">
        <v>0</v>
      </c>
      <c r="M462">
        <v>2</v>
      </c>
      <c r="N462" s="1">
        <v>0</v>
      </c>
      <c r="O462">
        <v>0</v>
      </c>
      <c r="P462" t="s">
        <v>77</v>
      </c>
      <c r="Q462" s="1">
        <v>0</v>
      </c>
    </row>
    <row r="463" spans="1:17">
      <c r="A463" t="s">
        <v>63</v>
      </c>
      <c r="B463" t="s">
        <v>53</v>
      </c>
      <c r="C463" t="s">
        <v>362</v>
      </c>
      <c r="D463" t="s">
        <v>82</v>
      </c>
      <c r="E463" t="s">
        <v>57</v>
      </c>
      <c r="F463" t="s">
        <v>55</v>
      </c>
      <c r="G463" t="s">
        <v>130</v>
      </c>
      <c r="H463">
        <v>0</v>
      </c>
      <c r="I463" t="s">
        <v>21</v>
      </c>
      <c r="J463">
        <v>0</v>
      </c>
      <c r="K463">
        <v>0</v>
      </c>
      <c r="L463">
        <v>0</v>
      </c>
      <c r="M463">
        <v>0</v>
      </c>
      <c r="N463" t="s">
        <v>77</v>
      </c>
      <c r="O463">
        <v>0</v>
      </c>
      <c r="P463" t="s">
        <v>77</v>
      </c>
      <c r="Q463" s="1">
        <v>0</v>
      </c>
    </row>
    <row r="464" spans="1:17">
      <c r="A464" t="s">
        <v>63</v>
      </c>
      <c r="B464" t="s">
        <v>53</v>
      </c>
      <c r="C464" t="s">
        <v>357</v>
      </c>
      <c r="D464" t="s">
        <v>75</v>
      </c>
      <c r="E464" t="s">
        <v>57</v>
      </c>
      <c r="F464" t="s">
        <v>55</v>
      </c>
      <c r="G464" t="s">
        <v>130</v>
      </c>
      <c r="H464">
        <v>0</v>
      </c>
      <c r="I464" t="s">
        <v>21</v>
      </c>
      <c r="J464">
        <v>0</v>
      </c>
      <c r="K464">
        <v>12</v>
      </c>
      <c r="L464">
        <v>45.52</v>
      </c>
      <c r="M464">
        <v>176</v>
      </c>
      <c r="N464" s="1">
        <v>6.8199999999999997E-2</v>
      </c>
      <c r="O464">
        <v>3.79</v>
      </c>
      <c r="P464">
        <v>5</v>
      </c>
      <c r="Q464" s="1">
        <v>0</v>
      </c>
    </row>
    <row r="465" spans="1:17">
      <c r="A465" t="s">
        <v>63</v>
      </c>
      <c r="B465" t="s">
        <v>53</v>
      </c>
      <c r="C465" t="s">
        <v>365</v>
      </c>
      <c r="D465" t="s">
        <v>75</v>
      </c>
      <c r="E465" t="s">
        <v>57</v>
      </c>
      <c r="F465" t="s">
        <v>55</v>
      </c>
      <c r="G465" t="s">
        <v>130</v>
      </c>
      <c r="H465">
        <v>0</v>
      </c>
      <c r="I465" t="s">
        <v>21</v>
      </c>
      <c r="J465">
        <v>0</v>
      </c>
      <c r="K465">
        <v>0</v>
      </c>
      <c r="L465">
        <v>0</v>
      </c>
      <c r="M465">
        <v>0</v>
      </c>
      <c r="N465" t="s">
        <v>77</v>
      </c>
      <c r="O465">
        <v>0</v>
      </c>
      <c r="P465" t="s">
        <v>77</v>
      </c>
      <c r="Q465" s="1">
        <v>0</v>
      </c>
    </row>
    <row r="466" spans="1:17">
      <c r="A466" t="s">
        <v>63</v>
      </c>
      <c r="B466" t="s">
        <v>53</v>
      </c>
      <c r="C466" t="s">
        <v>350</v>
      </c>
      <c r="D466" t="s">
        <v>79</v>
      </c>
      <c r="E466" t="s">
        <v>57</v>
      </c>
      <c r="F466" t="s">
        <v>55</v>
      </c>
      <c r="G466" t="s">
        <v>130</v>
      </c>
      <c r="H466">
        <v>0</v>
      </c>
      <c r="I466" t="s">
        <v>21</v>
      </c>
      <c r="J466">
        <v>0</v>
      </c>
      <c r="K466">
        <v>0</v>
      </c>
      <c r="L466">
        <v>0</v>
      </c>
      <c r="M466">
        <v>0</v>
      </c>
      <c r="N466" t="s">
        <v>77</v>
      </c>
      <c r="O466">
        <v>0</v>
      </c>
      <c r="P466" t="s">
        <v>77</v>
      </c>
      <c r="Q466" s="1">
        <v>0</v>
      </c>
    </row>
    <row r="467" spans="1:17">
      <c r="A467" t="s">
        <v>63</v>
      </c>
      <c r="B467" t="s">
        <v>53</v>
      </c>
      <c r="C467" t="s">
        <v>345</v>
      </c>
      <c r="D467" t="s">
        <v>79</v>
      </c>
      <c r="E467" t="s">
        <v>57</v>
      </c>
      <c r="F467" t="s">
        <v>55</v>
      </c>
      <c r="G467" t="s">
        <v>130</v>
      </c>
      <c r="H467">
        <v>0</v>
      </c>
      <c r="I467" t="s">
        <v>21</v>
      </c>
      <c r="J467">
        <v>0</v>
      </c>
      <c r="K467">
        <v>0</v>
      </c>
      <c r="L467">
        <v>0</v>
      </c>
      <c r="M467">
        <v>0</v>
      </c>
      <c r="N467" t="s">
        <v>77</v>
      </c>
      <c r="O467">
        <v>0</v>
      </c>
      <c r="P467" t="s">
        <v>77</v>
      </c>
      <c r="Q467" s="1">
        <v>0</v>
      </c>
    </row>
    <row r="468" spans="1:17">
      <c r="A468" t="s">
        <v>63</v>
      </c>
      <c r="B468" t="s">
        <v>53</v>
      </c>
      <c r="C468" t="s">
        <v>161</v>
      </c>
      <c r="D468" t="s">
        <v>75</v>
      </c>
      <c r="E468" t="s">
        <v>54</v>
      </c>
      <c r="F468" t="s">
        <v>55</v>
      </c>
      <c r="G468" t="s">
        <v>130</v>
      </c>
      <c r="H468">
        <v>0</v>
      </c>
      <c r="I468" t="s">
        <v>21</v>
      </c>
      <c r="J468">
        <v>0</v>
      </c>
      <c r="K468">
        <v>0</v>
      </c>
      <c r="L468">
        <v>0</v>
      </c>
      <c r="M468">
        <v>2</v>
      </c>
      <c r="N468" s="1">
        <v>0</v>
      </c>
      <c r="O468">
        <v>0</v>
      </c>
      <c r="P468" t="s">
        <v>77</v>
      </c>
      <c r="Q468" s="1">
        <v>0</v>
      </c>
    </row>
    <row r="469" spans="1:17">
      <c r="A469" t="s">
        <v>63</v>
      </c>
      <c r="B469" t="s">
        <v>53</v>
      </c>
      <c r="C469" t="s">
        <v>322</v>
      </c>
      <c r="D469" t="s">
        <v>79</v>
      </c>
      <c r="E469" t="s">
        <v>54</v>
      </c>
      <c r="F469" t="s">
        <v>55</v>
      </c>
      <c r="G469" t="s">
        <v>130</v>
      </c>
      <c r="H469">
        <v>0</v>
      </c>
      <c r="I469" t="s">
        <v>21</v>
      </c>
      <c r="J469">
        <v>0</v>
      </c>
      <c r="K469">
        <v>0</v>
      </c>
      <c r="L469">
        <v>0</v>
      </c>
      <c r="M469">
        <v>0</v>
      </c>
      <c r="N469" t="s">
        <v>77</v>
      </c>
      <c r="O469">
        <v>0</v>
      </c>
      <c r="P469" t="s">
        <v>77</v>
      </c>
      <c r="Q469" s="1">
        <v>0</v>
      </c>
    </row>
    <row r="470" spans="1:17">
      <c r="A470" t="s">
        <v>63</v>
      </c>
      <c r="B470" t="s">
        <v>53</v>
      </c>
      <c r="C470" t="s">
        <v>154</v>
      </c>
      <c r="D470" t="s">
        <v>75</v>
      </c>
      <c r="E470" t="s">
        <v>54</v>
      </c>
      <c r="F470" t="s">
        <v>55</v>
      </c>
      <c r="G470" t="s">
        <v>130</v>
      </c>
      <c r="H470">
        <v>0</v>
      </c>
      <c r="I470" t="s">
        <v>21</v>
      </c>
      <c r="J470">
        <v>0</v>
      </c>
      <c r="K470">
        <v>0</v>
      </c>
      <c r="L470">
        <v>0</v>
      </c>
      <c r="M470">
        <v>0</v>
      </c>
      <c r="N470" t="s">
        <v>77</v>
      </c>
      <c r="O470">
        <v>0</v>
      </c>
      <c r="P470" t="s">
        <v>77</v>
      </c>
      <c r="Q470" s="1">
        <v>0</v>
      </c>
    </row>
    <row r="471" spans="1:17">
      <c r="A471" t="s">
        <v>63</v>
      </c>
      <c r="B471" t="s">
        <v>53</v>
      </c>
      <c r="C471" t="s">
        <v>301</v>
      </c>
      <c r="D471" t="s">
        <v>75</v>
      </c>
      <c r="E471" t="s">
        <v>54</v>
      </c>
      <c r="F471" t="s">
        <v>55</v>
      </c>
      <c r="G471" t="s">
        <v>130</v>
      </c>
      <c r="H471">
        <v>0</v>
      </c>
      <c r="I471" t="s">
        <v>21</v>
      </c>
      <c r="J471">
        <v>0</v>
      </c>
      <c r="K471">
        <v>0</v>
      </c>
      <c r="L471">
        <v>0</v>
      </c>
      <c r="M471">
        <v>0</v>
      </c>
      <c r="N471" t="s">
        <v>77</v>
      </c>
      <c r="O471">
        <v>0</v>
      </c>
      <c r="P471" t="s">
        <v>77</v>
      </c>
      <c r="Q471" s="1">
        <v>0</v>
      </c>
    </row>
    <row r="472" spans="1:17">
      <c r="A472" t="s">
        <v>63</v>
      </c>
      <c r="B472" t="s">
        <v>53</v>
      </c>
      <c r="C472" t="s">
        <v>220</v>
      </c>
      <c r="D472" t="s">
        <v>75</v>
      </c>
      <c r="E472" t="s">
        <v>54</v>
      </c>
      <c r="F472" t="s">
        <v>55</v>
      </c>
      <c r="G472" t="s">
        <v>130</v>
      </c>
      <c r="H472">
        <v>0</v>
      </c>
      <c r="I472" t="s">
        <v>21</v>
      </c>
      <c r="J472">
        <v>0</v>
      </c>
      <c r="K472">
        <v>0</v>
      </c>
      <c r="L472">
        <v>0</v>
      </c>
      <c r="M472">
        <v>0</v>
      </c>
      <c r="N472" t="s">
        <v>77</v>
      </c>
      <c r="O472">
        <v>0</v>
      </c>
      <c r="P472" t="s">
        <v>77</v>
      </c>
      <c r="Q472" s="1">
        <v>0</v>
      </c>
    </row>
    <row r="473" spans="1:17">
      <c r="A473" t="s">
        <v>63</v>
      </c>
      <c r="B473" t="s">
        <v>53</v>
      </c>
      <c r="C473" t="s">
        <v>217</v>
      </c>
      <c r="D473" t="s">
        <v>75</v>
      </c>
      <c r="E473" t="s">
        <v>54</v>
      </c>
      <c r="F473" t="s">
        <v>55</v>
      </c>
      <c r="G473" t="s">
        <v>130</v>
      </c>
      <c r="H473">
        <v>0</v>
      </c>
      <c r="I473" t="s">
        <v>21</v>
      </c>
      <c r="J473">
        <v>0</v>
      </c>
      <c r="K473">
        <v>0</v>
      </c>
      <c r="L473">
        <v>0</v>
      </c>
      <c r="M473">
        <v>0</v>
      </c>
      <c r="N473" t="s">
        <v>77</v>
      </c>
      <c r="O473">
        <v>0</v>
      </c>
      <c r="P473" t="s">
        <v>77</v>
      </c>
      <c r="Q473" s="1">
        <v>0</v>
      </c>
    </row>
    <row r="474" spans="1:17">
      <c r="A474" t="s">
        <v>63</v>
      </c>
      <c r="B474" t="s">
        <v>53</v>
      </c>
      <c r="C474" t="s">
        <v>144</v>
      </c>
      <c r="D474" t="s">
        <v>75</v>
      </c>
      <c r="E474" t="s">
        <v>54</v>
      </c>
      <c r="F474" t="s">
        <v>55</v>
      </c>
      <c r="G474" t="s">
        <v>130</v>
      </c>
      <c r="H474">
        <v>0</v>
      </c>
      <c r="I474" t="s">
        <v>21</v>
      </c>
      <c r="J474">
        <v>0</v>
      </c>
      <c r="K474">
        <v>0</v>
      </c>
      <c r="L474">
        <v>0</v>
      </c>
      <c r="M474">
        <v>0</v>
      </c>
      <c r="N474" t="s">
        <v>77</v>
      </c>
      <c r="O474">
        <v>0</v>
      </c>
      <c r="P474" t="s">
        <v>77</v>
      </c>
      <c r="Q474" s="1">
        <v>0</v>
      </c>
    </row>
    <row r="475" spans="1:17">
      <c r="A475" t="s">
        <v>63</v>
      </c>
      <c r="B475" t="s">
        <v>53</v>
      </c>
      <c r="C475" t="s">
        <v>148</v>
      </c>
      <c r="D475" t="s">
        <v>75</v>
      </c>
      <c r="E475" t="s">
        <v>54</v>
      </c>
      <c r="F475" t="s">
        <v>55</v>
      </c>
      <c r="G475" t="s">
        <v>130</v>
      </c>
      <c r="H475">
        <v>0</v>
      </c>
      <c r="I475" t="s">
        <v>21</v>
      </c>
      <c r="J475">
        <v>0</v>
      </c>
      <c r="K475">
        <v>0</v>
      </c>
      <c r="L475">
        <v>0</v>
      </c>
      <c r="M475">
        <v>0</v>
      </c>
      <c r="N475" t="s">
        <v>77</v>
      </c>
      <c r="O475">
        <v>0</v>
      </c>
      <c r="P475" t="s">
        <v>77</v>
      </c>
      <c r="Q475" s="1">
        <v>0</v>
      </c>
    </row>
    <row r="476" spans="1:17">
      <c r="A476" t="s">
        <v>63</v>
      </c>
      <c r="B476" t="s">
        <v>53</v>
      </c>
      <c r="C476" t="s">
        <v>329</v>
      </c>
      <c r="D476" t="s">
        <v>75</v>
      </c>
      <c r="E476" t="s">
        <v>54</v>
      </c>
      <c r="F476" t="s">
        <v>55</v>
      </c>
      <c r="G476" t="s">
        <v>130</v>
      </c>
      <c r="H476">
        <v>0</v>
      </c>
      <c r="I476" t="s">
        <v>21</v>
      </c>
      <c r="J476">
        <v>0</v>
      </c>
      <c r="K476">
        <v>0</v>
      </c>
      <c r="L476">
        <v>0</v>
      </c>
      <c r="M476">
        <v>0</v>
      </c>
      <c r="N476" t="s">
        <v>77</v>
      </c>
      <c r="O476">
        <v>0</v>
      </c>
      <c r="P476" t="s">
        <v>77</v>
      </c>
      <c r="Q476" s="1">
        <v>0</v>
      </c>
    </row>
    <row r="477" spans="1:17">
      <c r="A477" t="s">
        <v>63</v>
      </c>
      <c r="B477" t="s">
        <v>53</v>
      </c>
      <c r="C477" t="s">
        <v>195</v>
      </c>
      <c r="D477" t="s">
        <v>75</v>
      </c>
      <c r="E477" t="s">
        <v>54</v>
      </c>
      <c r="F477" t="s">
        <v>55</v>
      </c>
      <c r="G477" t="s">
        <v>130</v>
      </c>
      <c r="H477">
        <v>0</v>
      </c>
      <c r="I477" t="s">
        <v>21</v>
      </c>
      <c r="J477">
        <v>0</v>
      </c>
      <c r="K477">
        <v>0</v>
      </c>
      <c r="L477">
        <v>0</v>
      </c>
      <c r="M477">
        <v>0</v>
      </c>
      <c r="N477" t="s">
        <v>77</v>
      </c>
      <c r="O477">
        <v>0</v>
      </c>
      <c r="P477" t="s">
        <v>77</v>
      </c>
      <c r="Q477" s="1">
        <v>0</v>
      </c>
    </row>
    <row r="478" spans="1:17">
      <c r="A478" t="s">
        <v>63</v>
      </c>
      <c r="B478" t="s">
        <v>53</v>
      </c>
      <c r="C478" t="s">
        <v>169</v>
      </c>
      <c r="D478" t="s">
        <v>75</v>
      </c>
      <c r="E478" t="s">
        <v>54</v>
      </c>
      <c r="F478" t="s">
        <v>55</v>
      </c>
      <c r="G478" t="s">
        <v>130</v>
      </c>
      <c r="H478">
        <v>0</v>
      </c>
      <c r="I478" t="s">
        <v>21</v>
      </c>
      <c r="J478">
        <v>0</v>
      </c>
      <c r="K478">
        <v>0</v>
      </c>
      <c r="L478">
        <v>0</v>
      </c>
      <c r="M478">
        <v>0</v>
      </c>
      <c r="N478" t="s">
        <v>77</v>
      </c>
      <c r="O478">
        <v>0</v>
      </c>
      <c r="P478" t="s">
        <v>77</v>
      </c>
      <c r="Q478" s="1">
        <v>0</v>
      </c>
    </row>
    <row r="479" spans="1:17">
      <c r="A479" t="s">
        <v>63</v>
      </c>
      <c r="B479" t="s">
        <v>53</v>
      </c>
      <c r="C479" t="s">
        <v>253</v>
      </c>
      <c r="D479" t="s">
        <v>75</v>
      </c>
      <c r="E479" t="s">
        <v>54</v>
      </c>
      <c r="F479" t="s">
        <v>55</v>
      </c>
      <c r="G479" t="s">
        <v>130</v>
      </c>
      <c r="H479">
        <v>0</v>
      </c>
      <c r="I479" t="s">
        <v>21</v>
      </c>
      <c r="J479">
        <v>0</v>
      </c>
      <c r="K479">
        <v>0</v>
      </c>
      <c r="L479">
        <v>0</v>
      </c>
      <c r="M479">
        <v>0</v>
      </c>
      <c r="N479" t="s">
        <v>77</v>
      </c>
      <c r="O479">
        <v>0</v>
      </c>
      <c r="P479" t="s">
        <v>77</v>
      </c>
      <c r="Q479" s="1">
        <v>0</v>
      </c>
    </row>
    <row r="480" spans="1:17">
      <c r="A480" t="s">
        <v>63</v>
      </c>
      <c r="B480" t="s">
        <v>53</v>
      </c>
      <c r="C480" t="s">
        <v>246</v>
      </c>
      <c r="D480" t="s">
        <v>75</v>
      </c>
      <c r="E480" t="s">
        <v>54</v>
      </c>
      <c r="F480" t="s">
        <v>55</v>
      </c>
      <c r="G480" t="s">
        <v>130</v>
      </c>
      <c r="H480">
        <v>0</v>
      </c>
      <c r="I480" t="s">
        <v>21</v>
      </c>
      <c r="J480">
        <v>0</v>
      </c>
      <c r="K480">
        <v>0</v>
      </c>
      <c r="L480">
        <v>0</v>
      </c>
      <c r="M480">
        <v>0</v>
      </c>
      <c r="N480" t="s">
        <v>77</v>
      </c>
      <c r="O480">
        <v>0</v>
      </c>
      <c r="P480" t="s">
        <v>77</v>
      </c>
      <c r="Q480" s="1">
        <v>0</v>
      </c>
    </row>
    <row r="481" spans="1:17">
      <c r="A481" t="s">
        <v>63</v>
      </c>
      <c r="B481" t="s">
        <v>53</v>
      </c>
      <c r="C481" t="s">
        <v>242</v>
      </c>
      <c r="D481" t="s">
        <v>75</v>
      </c>
      <c r="E481" t="s">
        <v>54</v>
      </c>
      <c r="F481" t="s">
        <v>55</v>
      </c>
      <c r="G481" t="s">
        <v>130</v>
      </c>
      <c r="H481">
        <v>0</v>
      </c>
      <c r="I481" t="s">
        <v>21</v>
      </c>
      <c r="J481">
        <v>0</v>
      </c>
      <c r="K481">
        <v>0</v>
      </c>
      <c r="L481">
        <v>0</v>
      </c>
      <c r="M481">
        <v>0</v>
      </c>
      <c r="N481" t="s">
        <v>77</v>
      </c>
      <c r="O481">
        <v>0</v>
      </c>
      <c r="P481" t="s">
        <v>77</v>
      </c>
      <c r="Q481" s="1">
        <v>0</v>
      </c>
    </row>
    <row r="482" spans="1:17">
      <c r="A482" t="s">
        <v>63</v>
      </c>
      <c r="B482" t="s">
        <v>53</v>
      </c>
      <c r="C482" t="s">
        <v>196</v>
      </c>
      <c r="D482" t="s">
        <v>75</v>
      </c>
      <c r="E482" t="s">
        <v>54</v>
      </c>
      <c r="F482" t="s">
        <v>55</v>
      </c>
      <c r="G482" t="s">
        <v>130</v>
      </c>
      <c r="H482">
        <v>0</v>
      </c>
      <c r="I482" t="s">
        <v>21</v>
      </c>
      <c r="J482">
        <v>0</v>
      </c>
      <c r="K482">
        <v>0</v>
      </c>
      <c r="L482">
        <v>0</v>
      </c>
      <c r="M482">
        <v>0</v>
      </c>
      <c r="N482" t="s">
        <v>77</v>
      </c>
      <c r="O482">
        <v>0</v>
      </c>
      <c r="P482" t="s">
        <v>77</v>
      </c>
      <c r="Q482" s="1">
        <v>0</v>
      </c>
    </row>
    <row r="483" spans="1:17">
      <c r="A483" t="s">
        <v>63</v>
      </c>
      <c r="B483" t="s">
        <v>53</v>
      </c>
      <c r="C483" t="s">
        <v>173</v>
      </c>
      <c r="D483" t="s">
        <v>75</v>
      </c>
      <c r="E483" t="s">
        <v>54</v>
      </c>
      <c r="F483" t="s">
        <v>55</v>
      </c>
      <c r="G483" t="s">
        <v>130</v>
      </c>
      <c r="H483">
        <v>0</v>
      </c>
      <c r="I483" t="s">
        <v>21</v>
      </c>
      <c r="J483">
        <v>0</v>
      </c>
      <c r="K483">
        <v>0</v>
      </c>
      <c r="L483">
        <v>0</v>
      </c>
      <c r="M483">
        <v>0</v>
      </c>
      <c r="N483" t="s">
        <v>77</v>
      </c>
      <c r="O483">
        <v>0</v>
      </c>
      <c r="P483" t="s">
        <v>77</v>
      </c>
      <c r="Q483" s="1">
        <v>0</v>
      </c>
    </row>
    <row r="484" spans="1:17">
      <c r="A484" t="s">
        <v>63</v>
      </c>
      <c r="B484" t="s">
        <v>53</v>
      </c>
      <c r="C484" t="s">
        <v>227</v>
      </c>
      <c r="D484" t="s">
        <v>75</v>
      </c>
      <c r="E484" t="s">
        <v>54</v>
      </c>
      <c r="F484" t="s">
        <v>55</v>
      </c>
      <c r="G484" t="s">
        <v>130</v>
      </c>
      <c r="H484">
        <v>0</v>
      </c>
      <c r="I484" t="s">
        <v>21</v>
      </c>
      <c r="J484">
        <v>0</v>
      </c>
      <c r="K484">
        <v>0</v>
      </c>
      <c r="L484">
        <v>0</v>
      </c>
      <c r="M484">
        <v>0</v>
      </c>
      <c r="N484" t="s">
        <v>77</v>
      </c>
      <c r="O484">
        <v>0</v>
      </c>
      <c r="P484" t="s">
        <v>77</v>
      </c>
      <c r="Q484" s="1">
        <v>0</v>
      </c>
    </row>
    <row r="485" spans="1:17">
      <c r="A485" t="s">
        <v>63</v>
      </c>
      <c r="B485" t="s">
        <v>53</v>
      </c>
      <c r="C485" t="s">
        <v>136</v>
      </c>
      <c r="D485" t="s">
        <v>75</v>
      </c>
      <c r="E485" t="s">
        <v>54</v>
      </c>
      <c r="F485" t="s">
        <v>55</v>
      </c>
      <c r="G485" t="s">
        <v>130</v>
      </c>
      <c r="H485">
        <v>0</v>
      </c>
      <c r="I485" t="s">
        <v>21</v>
      </c>
      <c r="J485">
        <v>0</v>
      </c>
      <c r="K485">
        <v>0</v>
      </c>
      <c r="L485">
        <v>0</v>
      </c>
      <c r="M485">
        <v>0</v>
      </c>
      <c r="N485" t="s">
        <v>77</v>
      </c>
      <c r="O485">
        <v>0</v>
      </c>
      <c r="P485" t="s">
        <v>77</v>
      </c>
      <c r="Q485" s="1">
        <v>0</v>
      </c>
    </row>
    <row r="486" spans="1:17">
      <c r="A486" t="s">
        <v>63</v>
      </c>
      <c r="B486" t="s">
        <v>53</v>
      </c>
      <c r="C486" t="s">
        <v>366</v>
      </c>
      <c r="D486" t="s">
        <v>75</v>
      </c>
      <c r="E486" t="s">
        <v>54</v>
      </c>
      <c r="F486" t="s">
        <v>55</v>
      </c>
      <c r="G486" t="s">
        <v>130</v>
      </c>
      <c r="H486">
        <v>0</v>
      </c>
      <c r="I486" t="s">
        <v>21</v>
      </c>
      <c r="J486">
        <v>0</v>
      </c>
      <c r="K486">
        <v>0</v>
      </c>
      <c r="L486">
        <v>0</v>
      </c>
      <c r="M486">
        <v>0</v>
      </c>
      <c r="N486" t="s">
        <v>77</v>
      </c>
      <c r="O486">
        <v>0</v>
      </c>
      <c r="P486" t="s">
        <v>77</v>
      </c>
      <c r="Q486" s="1">
        <v>0</v>
      </c>
    </row>
    <row r="487" spans="1:17">
      <c r="A487" t="s">
        <v>63</v>
      </c>
      <c r="B487" t="s">
        <v>53</v>
      </c>
      <c r="C487" t="s">
        <v>326</v>
      </c>
      <c r="D487" t="s">
        <v>75</v>
      </c>
      <c r="E487" t="s">
        <v>54</v>
      </c>
      <c r="F487" t="s">
        <v>55</v>
      </c>
      <c r="G487" t="s">
        <v>130</v>
      </c>
      <c r="H487">
        <v>0</v>
      </c>
      <c r="I487" t="s">
        <v>21</v>
      </c>
      <c r="J487">
        <v>0</v>
      </c>
      <c r="K487">
        <v>0</v>
      </c>
      <c r="L487">
        <v>0</v>
      </c>
      <c r="M487">
        <v>0</v>
      </c>
      <c r="N487" t="s">
        <v>77</v>
      </c>
      <c r="O487">
        <v>0</v>
      </c>
      <c r="P487" t="s">
        <v>77</v>
      </c>
      <c r="Q487" s="1">
        <v>0</v>
      </c>
    </row>
    <row r="488" spans="1:17">
      <c r="A488" t="s">
        <v>63</v>
      </c>
      <c r="B488" t="s">
        <v>53</v>
      </c>
      <c r="C488" t="s">
        <v>260</v>
      </c>
      <c r="D488" t="s">
        <v>75</v>
      </c>
      <c r="E488" t="s">
        <v>54</v>
      </c>
      <c r="F488" t="s">
        <v>55</v>
      </c>
      <c r="G488" t="s">
        <v>130</v>
      </c>
      <c r="H488">
        <v>0</v>
      </c>
      <c r="I488" t="s">
        <v>21</v>
      </c>
      <c r="J488">
        <v>0</v>
      </c>
      <c r="K488">
        <v>0</v>
      </c>
      <c r="L488">
        <v>0</v>
      </c>
      <c r="M488">
        <v>0</v>
      </c>
      <c r="N488" t="s">
        <v>77</v>
      </c>
      <c r="O488">
        <v>0</v>
      </c>
      <c r="P488" t="s">
        <v>77</v>
      </c>
      <c r="Q488" s="1">
        <v>0</v>
      </c>
    </row>
    <row r="489" spans="1:17">
      <c r="A489" t="s">
        <v>63</v>
      </c>
      <c r="B489" t="s">
        <v>53</v>
      </c>
      <c r="C489" t="s">
        <v>145</v>
      </c>
      <c r="D489" t="s">
        <v>75</v>
      </c>
      <c r="E489" t="s">
        <v>54</v>
      </c>
      <c r="F489" t="s">
        <v>55</v>
      </c>
      <c r="G489" t="s">
        <v>130</v>
      </c>
      <c r="H489">
        <v>0</v>
      </c>
      <c r="I489" t="s">
        <v>21</v>
      </c>
      <c r="J489">
        <v>0</v>
      </c>
      <c r="K489">
        <v>0</v>
      </c>
      <c r="L489">
        <v>0</v>
      </c>
      <c r="M489">
        <v>0</v>
      </c>
      <c r="N489" t="s">
        <v>77</v>
      </c>
      <c r="O489">
        <v>0</v>
      </c>
      <c r="P489" t="s">
        <v>77</v>
      </c>
      <c r="Q489" s="1">
        <v>0</v>
      </c>
    </row>
    <row r="490" spans="1:17">
      <c r="A490" t="s">
        <v>63</v>
      </c>
      <c r="B490" t="s">
        <v>53</v>
      </c>
      <c r="C490" t="s">
        <v>156</v>
      </c>
      <c r="D490" t="s">
        <v>75</v>
      </c>
      <c r="E490" t="s">
        <v>54</v>
      </c>
      <c r="F490" t="s">
        <v>55</v>
      </c>
      <c r="G490" t="s">
        <v>130</v>
      </c>
      <c r="H490">
        <v>0</v>
      </c>
      <c r="I490" t="s">
        <v>21</v>
      </c>
      <c r="J490">
        <v>0</v>
      </c>
      <c r="K490">
        <v>0</v>
      </c>
      <c r="L490">
        <v>0</v>
      </c>
      <c r="M490">
        <v>0</v>
      </c>
      <c r="N490" t="s">
        <v>77</v>
      </c>
      <c r="O490">
        <v>0</v>
      </c>
      <c r="P490" t="s">
        <v>77</v>
      </c>
      <c r="Q490" s="1">
        <v>0</v>
      </c>
    </row>
    <row r="491" spans="1:17">
      <c r="A491" t="s">
        <v>63</v>
      </c>
      <c r="B491" t="s">
        <v>53</v>
      </c>
      <c r="C491" t="s">
        <v>319</v>
      </c>
      <c r="D491" t="s">
        <v>75</v>
      </c>
      <c r="E491" t="s">
        <v>54</v>
      </c>
      <c r="F491" t="s">
        <v>55</v>
      </c>
      <c r="G491" t="s">
        <v>130</v>
      </c>
      <c r="H491">
        <v>0</v>
      </c>
      <c r="I491" t="s">
        <v>21</v>
      </c>
      <c r="J491">
        <v>0</v>
      </c>
      <c r="K491">
        <v>0</v>
      </c>
      <c r="L491">
        <v>0</v>
      </c>
      <c r="M491">
        <v>0</v>
      </c>
      <c r="N491" t="s">
        <v>77</v>
      </c>
      <c r="O491">
        <v>0</v>
      </c>
      <c r="P491" t="s">
        <v>77</v>
      </c>
      <c r="Q491" s="1">
        <v>0</v>
      </c>
    </row>
    <row r="492" spans="1:17">
      <c r="A492" t="s">
        <v>63</v>
      </c>
      <c r="B492" t="s">
        <v>53</v>
      </c>
      <c r="C492" t="s">
        <v>267</v>
      </c>
      <c r="D492" t="s">
        <v>75</v>
      </c>
      <c r="E492" t="s">
        <v>54</v>
      </c>
      <c r="F492" t="s">
        <v>55</v>
      </c>
      <c r="G492" t="s">
        <v>130</v>
      </c>
      <c r="H492">
        <v>0</v>
      </c>
      <c r="I492" t="s">
        <v>21</v>
      </c>
      <c r="J492">
        <v>0</v>
      </c>
      <c r="K492">
        <v>0</v>
      </c>
      <c r="L492">
        <v>0</v>
      </c>
      <c r="M492">
        <v>0</v>
      </c>
      <c r="N492" t="s">
        <v>77</v>
      </c>
      <c r="O492">
        <v>0</v>
      </c>
      <c r="P492" t="s">
        <v>77</v>
      </c>
      <c r="Q492" s="1">
        <v>0</v>
      </c>
    </row>
    <row r="493" spans="1:17">
      <c r="A493" t="s">
        <v>63</v>
      </c>
      <c r="B493" t="s">
        <v>53</v>
      </c>
      <c r="C493" t="s">
        <v>223</v>
      </c>
      <c r="D493" t="s">
        <v>75</v>
      </c>
      <c r="E493" t="s">
        <v>54</v>
      </c>
      <c r="F493" t="s">
        <v>55</v>
      </c>
      <c r="G493" t="s">
        <v>130</v>
      </c>
      <c r="H493">
        <v>0</v>
      </c>
      <c r="I493" t="s">
        <v>21</v>
      </c>
      <c r="J493">
        <v>0</v>
      </c>
      <c r="K493">
        <v>0</v>
      </c>
      <c r="L493">
        <v>0</v>
      </c>
      <c r="M493">
        <v>0</v>
      </c>
      <c r="N493" t="s">
        <v>77</v>
      </c>
      <c r="O493">
        <v>0</v>
      </c>
      <c r="P493" t="s">
        <v>77</v>
      </c>
      <c r="Q493" s="1">
        <v>0</v>
      </c>
    </row>
    <row r="494" spans="1:17">
      <c r="A494" t="s">
        <v>63</v>
      </c>
      <c r="B494" t="s">
        <v>53</v>
      </c>
      <c r="C494" t="s">
        <v>274</v>
      </c>
      <c r="D494" t="s">
        <v>82</v>
      </c>
      <c r="E494" t="s">
        <v>54</v>
      </c>
      <c r="F494" t="s">
        <v>55</v>
      </c>
      <c r="G494" t="s">
        <v>130</v>
      </c>
      <c r="H494">
        <v>0</v>
      </c>
      <c r="I494" t="s">
        <v>21</v>
      </c>
      <c r="J494">
        <v>0</v>
      </c>
      <c r="K494">
        <v>0</v>
      </c>
      <c r="L494">
        <v>0</v>
      </c>
      <c r="M494">
        <v>1</v>
      </c>
      <c r="N494" s="1">
        <v>0</v>
      </c>
      <c r="O494">
        <v>0</v>
      </c>
      <c r="P494">
        <v>8</v>
      </c>
      <c r="Q494" s="1">
        <v>0</v>
      </c>
    </row>
    <row r="495" spans="1:17">
      <c r="A495" t="s">
        <v>63</v>
      </c>
      <c r="B495" t="s">
        <v>53</v>
      </c>
      <c r="C495" t="s">
        <v>323</v>
      </c>
      <c r="D495" t="s">
        <v>75</v>
      </c>
      <c r="E495" t="s">
        <v>54</v>
      </c>
      <c r="F495" t="s">
        <v>55</v>
      </c>
      <c r="G495" t="s">
        <v>130</v>
      </c>
      <c r="H495">
        <v>3</v>
      </c>
      <c r="I495" t="s">
        <v>21</v>
      </c>
      <c r="J495">
        <v>21.25</v>
      </c>
      <c r="K495">
        <v>30</v>
      </c>
      <c r="L495">
        <v>63.75</v>
      </c>
      <c r="M495">
        <v>366</v>
      </c>
      <c r="N495" s="1">
        <v>8.2000000000000003E-2</v>
      </c>
      <c r="O495">
        <v>2.13</v>
      </c>
      <c r="P495">
        <v>3</v>
      </c>
      <c r="Q495" s="1">
        <v>0.1</v>
      </c>
    </row>
    <row r="496" spans="1:17">
      <c r="A496" t="s">
        <v>63</v>
      </c>
      <c r="B496" t="s">
        <v>53</v>
      </c>
      <c r="C496" t="s">
        <v>165</v>
      </c>
      <c r="D496" t="s">
        <v>75</v>
      </c>
      <c r="E496" t="s">
        <v>54</v>
      </c>
      <c r="F496" t="s">
        <v>55</v>
      </c>
      <c r="G496" t="s">
        <v>130</v>
      </c>
      <c r="H496">
        <v>0</v>
      </c>
      <c r="I496" t="s">
        <v>21</v>
      </c>
      <c r="J496">
        <v>0</v>
      </c>
      <c r="K496">
        <v>0</v>
      </c>
      <c r="L496">
        <v>0</v>
      </c>
      <c r="M496">
        <v>0</v>
      </c>
      <c r="N496" t="s">
        <v>77</v>
      </c>
      <c r="O496">
        <v>0</v>
      </c>
      <c r="P496" t="s">
        <v>77</v>
      </c>
      <c r="Q496" s="1">
        <v>0</v>
      </c>
    </row>
    <row r="497" spans="1:17">
      <c r="A497" t="s">
        <v>63</v>
      </c>
      <c r="B497" t="s">
        <v>53</v>
      </c>
      <c r="C497" t="s">
        <v>309</v>
      </c>
      <c r="D497" t="s">
        <v>75</v>
      </c>
      <c r="E497" t="s">
        <v>54</v>
      </c>
      <c r="F497" t="s">
        <v>55</v>
      </c>
      <c r="G497" t="s">
        <v>130</v>
      </c>
      <c r="H497">
        <v>0</v>
      </c>
      <c r="I497" t="s">
        <v>21</v>
      </c>
      <c r="J497">
        <v>0</v>
      </c>
      <c r="K497">
        <v>0</v>
      </c>
      <c r="L497">
        <v>0</v>
      </c>
      <c r="M497">
        <v>0</v>
      </c>
      <c r="N497" t="s">
        <v>77</v>
      </c>
      <c r="O497">
        <v>0</v>
      </c>
      <c r="P497" t="s">
        <v>77</v>
      </c>
      <c r="Q497" s="1">
        <v>0</v>
      </c>
    </row>
    <row r="498" spans="1:17">
      <c r="A498" t="s">
        <v>63</v>
      </c>
      <c r="B498" t="s">
        <v>53</v>
      </c>
      <c r="C498" t="s">
        <v>226</v>
      </c>
      <c r="D498" t="s">
        <v>75</v>
      </c>
      <c r="E498" t="s">
        <v>54</v>
      </c>
      <c r="F498" t="s">
        <v>55</v>
      </c>
      <c r="G498" t="s">
        <v>130</v>
      </c>
      <c r="H498">
        <v>0</v>
      </c>
      <c r="I498" t="s">
        <v>21</v>
      </c>
      <c r="J498">
        <v>0</v>
      </c>
      <c r="K498">
        <v>0</v>
      </c>
      <c r="L498">
        <v>0</v>
      </c>
      <c r="M498">
        <v>0</v>
      </c>
      <c r="N498" t="s">
        <v>77</v>
      </c>
      <c r="O498">
        <v>0</v>
      </c>
      <c r="P498" t="s">
        <v>77</v>
      </c>
      <c r="Q498" s="1">
        <v>0</v>
      </c>
    </row>
    <row r="499" spans="1:17">
      <c r="A499" t="s">
        <v>63</v>
      </c>
      <c r="B499" t="s">
        <v>53</v>
      </c>
      <c r="C499" t="s">
        <v>177</v>
      </c>
      <c r="D499" t="s">
        <v>75</v>
      </c>
      <c r="E499" t="s">
        <v>54</v>
      </c>
      <c r="F499" t="s">
        <v>55</v>
      </c>
      <c r="G499" t="s">
        <v>130</v>
      </c>
      <c r="H499">
        <v>0</v>
      </c>
      <c r="I499" t="s">
        <v>21</v>
      </c>
      <c r="J499">
        <v>0</v>
      </c>
      <c r="K499">
        <v>0</v>
      </c>
      <c r="L499">
        <v>0</v>
      </c>
      <c r="M499">
        <v>0</v>
      </c>
      <c r="N499" t="s">
        <v>77</v>
      </c>
      <c r="O499">
        <v>0</v>
      </c>
      <c r="P499" t="s">
        <v>77</v>
      </c>
      <c r="Q499" s="1">
        <v>0</v>
      </c>
    </row>
    <row r="500" spans="1:17">
      <c r="A500" t="s">
        <v>63</v>
      </c>
      <c r="B500" t="s">
        <v>53</v>
      </c>
      <c r="C500" t="s">
        <v>147</v>
      </c>
      <c r="D500" t="s">
        <v>75</v>
      </c>
      <c r="E500" t="s">
        <v>54</v>
      </c>
      <c r="F500" t="s">
        <v>55</v>
      </c>
      <c r="G500" t="s">
        <v>130</v>
      </c>
      <c r="H500">
        <v>0</v>
      </c>
      <c r="I500" t="s">
        <v>21</v>
      </c>
      <c r="J500">
        <v>0</v>
      </c>
      <c r="K500">
        <v>0</v>
      </c>
      <c r="L500">
        <v>0</v>
      </c>
      <c r="M500">
        <v>0</v>
      </c>
      <c r="N500" t="s">
        <v>77</v>
      </c>
      <c r="O500">
        <v>0</v>
      </c>
      <c r="P500" t="s">
        <v>77</v>
      </c>
      <c r="Q500" s="1">
        <v>0</v>
      </c>
    </row>
    <row r="501" spans="1:17">
      <c r="A501" t="s">
        <v>63</v>
      </c>
      <c r="B501" t="s">
        <v>53</v>
      </c>
      <c r="C501" t="s">
        <v>283</v>
      </c>
      <c r="D501" t="s">
        <v>75</v>
      </c>
      <c r="E501" t="s">
        <v>54</v>
      </c>
      <c r="F501" t="s">
        <v>55</v>
      </c>
      <c r="G501" t="s">
        <v>130</v>
      </c>
      <c r="H501">
        <v>1</v>
      </c>
      <c r="I501" t="s">
        <v>21</v>
      </c>
      <c r="J501">
        <v>12.5</v>
      </c>
      <c r="K501">
        <v>4</v>
      </c>
      <c r="L501">
        <v>12.5</v>
      </c>
      <c r="M501">
        <v>116</v>
      </c>
      <c r="N501" s="1">
        <v>3.4500000000000003E-2</v>
      </c>
      <c r="O501">
        <v>3.13</v>
      </c>
      <c r="P501" t="s">
        <v>77</v>
      </c>
      <c r="Q501" s="1">
        <v>0.25</v>
      </c>
    </row>
    <row r="502" spans="1:17">
      <c r="A502" t="s">
        <v>63</v>
      </c>
      <c r="B502" t="s">
        <v>53</v>
      </c>
      <c r="C502" t="s">
        <v>157</v>
      </c>
      <c r="D502" t="s">
        <v>75</v>
      </c>
      <c r="E502" t="s">
        <v>54</v>
      </c>
      <c r="F502" t="s">
        <v>55</v>
      </c>
      <c r="G502" t="s">
        <v>130</v>
      </c>
      <c r="H502">
        <v>0</v>
      </c>
      <c r="I502" t="s">
        <v>21</v>
      </c>
      <c r="J502">
        <v>0</v>
      </c>
      <c r="K502">
        <v>0</v>
      </c>
      <c r="L502">
        <v>0</v>
      </c>
      <c r="M502">
        <v>0</v>
      </c>
      <c r="N502" t="s">
        <v>77</v>
      </c>
      <c r="O502">
        <v>0</v>
      </c>
      <c r="P502" t="s">
        <v>77</v>
      </c>
      <c r="Q502" s="1">
        <v>0</v>
      </c>
    </row>
    <row r="503" spans="1:17">
      <c r="A503" t="s">
        <v>63</v>
      </c>
      <c r="B503" t="s">
        <v>53</v>
      </c>
      <c r="C503" t="s">
        <v>162</v>
      </c>
      <c r="D503" t="s">
        <v>75</v>
      </c>
      <c r="E503" t="s">
        <v>54</v>
      </c>
      <c r="F503" t="s">
        <v>55</v>
      </c>
      <c r="G503" t="s">
        <v>130</v>
      </c>
      <c r="H503">
        <v>0</v>
      </c>
      <c r="I503" t="s">
        <v>21</v>
      </c>
      <c r="J503">
        <v>0</v>
      </c>
      <c r="K503">
        <v>0</v>
      </c>
      <c r="L503">
        <v>0</v>
      </c>
      <c r="M503">
        <v>0</v>
      </c>
      <c r="N503" t="s">
        <v>77</v>
      </c>
      <c r="O503">
        <v>0</v>
      </c>
      <c r="P503" t="s">
        <v>77</v>
      </c>
      <c r="Q503" s="1">
        <v>0</v>
      </c>
    </row>
    <row r="504" spans="1:17">
      <c r="A504" t="s">
        <v>63</v>
      </c>
      <c r="B504" t="s">
        <v>53</v>
      </c>
      <c r="C504" t="s">
        <v>245</v>
      </c>
      <c r="D504" t="s">
        <v>75</v>
      </c>
      <c r="E504" t="s">
        <v>54</v>
      </c>
      <c r="F504" t="s">
        <v>55</v>
      </c>
      <c r="G504" t="s">
        <v>130</v>
      </c>
      <c r="H504">
        <v>0</v>
      </c>
      <c r="I504" t="s">
        <v>21</v>
      </c>
      <c r="J504">
        <v>0</v>
      </c>
      <c r="K504">
        <v>0</v>
      </c>
      <c r="L504">
        <v>0</v>
      </c>
      <c r="M504">
        <v>0</v>
      </c>
      <c r="N504" t="s">
        <v>77</v>
      </c>
      <c r="O504">
        <v>0</v>
      </c>
      <c r="P504" t="s">
        <v>77</v>
      </c>
      <c r="Q504" s="1">
        <v>0</v>
      </c>
    </row>
    <row r="505" spans="1:17">
      <c r="A505" t="s">
        <v>63</v>
      </c>
      <c r="B505" t="s">
        <v>53</v>
      </c>
      <c r="C505" t="s">
        <v>159</v>
      </c>
      <c r="D505" t="s">
        <v>75</v>
      </c>
      <c r="E505" t="s">
        <v>54</v>
      </c>
      <c r="F505" t="s">
        <v>55</v>
      </c>
      <c r="G505" t="s">
        <v>130</v>
      </c>
      <c r="H505">
        <v>0</v>
      </c>
      <c r="I505" t="s">
        <v>21</v>
      </c>
      <c r="J505">
        <v>0</v>
      </c>
      <c r="K505">
        <v>0</v>
      </c>
      <c r="L505">
        <v>0</v>
      </c>
      <c r="M505">
        <v>0</v>
      </c>
      <c r="N505" t="s">
        <v>77</v>
      </c>
      <c r="O505">
        <v>0</v>
      </c>
      <c r="P505" t="s">
        <v>77</v>
      </c>
      <c r="Q505" s="1">
        <v>0</v>
      </c>
    </row>
    <row r="506" spans="1:17">
      <c r="A506" t="s">
        <v>63</v>
      </c>
      <c r="B506" t="s">
        <v>53</v>
      </c>
      <c r="C506" t="s">
        <v>176</v>
      </c>
      <c r="D506" t="s">
        <v>75</v>
      </c>
      <c r="E506" t="s">
        <v>54</v>
      </c>
      <c r="F506" t="s">
        <v>55</v>
      </c>
      <c r="G506" t="s">
        <v>130</v>
      </c>
      <c r="H506">
        <v>0</v>
      </c>
      <c r="I506" t="s">
        <v>21</v>
      </c>
      <c r="J506">
        <v>0</v>
      </c>
      <c r="K506">
        <v>0</v>
      </c>
      <c r="L506">
        <v>0</v>
      </c>
      <c r="M506">
        <v>0</v>
      </c>
      <c r="N506" t="s">
        <v>77</v>
      </c>
      <c r="O506">
        <v>0</v>
      </c>
      <c r="P506" t="s">
        <v>77</v>
      </c>
      <c r="Q506" s="1">
        <v>0</v>
      </c>
    </row>
    <row r="507" spans="1:17">
      <c r="A507" t="s">
        <v>63</v>
      </c>
      <c r="B507" t="s">
        <v>53</v>
      </c>
      <c r="C507" t="s">
        <v>150</v>
      </c>
      <c r="D507" t="s">
        <v>75</v>
      </c>
      <c r="E507" t="s">
        <v>54</v>
      </c>
      <c r="F507" t="s">
        <v>55</v>
      </c>
      <c r="G507" t="s">
        <v>130</v>
      </c>
      <c r="H507">
        <v>0</v>
      </c>
      <c r="I507" t="s">
        <v>21</v>
      </c>
      <c r="J507">
        <v>0</v>
      </c>
      <c r="K507">
        <v>0</v>
      </c>
      <c r="L507">
        <v>0</v>
      </c>
      <c r="M507">
        <v>0</v>
      </c>
      <c r="N507" t="s">
        <v>77</v>
      </c>
      <c r="O507">
        <v>0</v>
      </c>
      <c r="P507" t="s">
        <v>77</v>
      </c>
      <c r="Q507" s="1">
        <v>0</v>
      </c>
    </row>
    <row r="508" spans="1:17">
      <c r="A508" t="s">
        <v>63</v>
      </c>
      <c r="B508" t="s">
        <v>53</v>
      </c>
      <c r="C508" t="s">
        <v>213</v>
      </c>
      <c r="D508" t="s">
        <v>75</v>
      </c>
      <c r="E508" t="s">
        <v>54</v>
      </c>
      <c r="F508" t="s">
        <v>55</v>
      </c>
      <c r="G508" t="s">
        <v>130</v>
      </c>
      <c r="H508">
        <v>0</v>
      </c>
      <c r="I508" t="s">
        <v>21</v>
      </c>
      <c r="J508">
        <v>0</v>
      </c>
      <c r="K508">
        <v>0</v>
      </c>
      <c r="L508">
        <v>0</v>
      </c>
      <c r="M508">
        <v>0</v>
      </c>
      <c r="N508" t="s">
        <v>77</v>
      </c>
      <c r="O508">
        <v>0</v>
      </c>
      <c r="P508" t="s">
        <v>77</v>
      </c>
      <c r="Q508" s="1">
        <v>0</v>
      </c>
    </row>
    <row r="509" spans="1:17">
      <c r="A509" t="s">
        <v>63</v>
      </c>
      <c r="B509" t="s">
        <v>53</v>
      </c>
      <c r="C509" t="s">
        <v>200</v>
      </c>
      <c r="D509" t="s">
        <v>75</v>
      </c>
      <c r="E509" t="s">
        <v>54</v>
      </c>
      <c r="F509" t="s">
        <v>55</v>
      </c>
      <c r="G509" t="s">
        <v>130</v>
      </c>
      <c r="H509">
        <v>0</v>
      </c>
      <c r="I509" t="s">
        <v>21</v>
      </c>
      <c r="J509">
        <v>0</v>
      </c>
      <c r="K509">
        <v>0</v>
      </c>
      <c r="L509">
        <v>0</v>
      </c>
      <c r="M509">
        <v>0</v>
      </c>
      <c r="N509" t="s">
        <v>77</v>
      </c>
      <c r="O509">
        <v>0</v>
      </c>
      <c r="P509" t="s">
        <v>77</v>
      </c>
      <c r="Q509" s="1">
        <v>0</v>
      </c>
    </row>
    <row r="510" spans="1:17">
      <c r="A510" t="s">
        <v>63</v>
      </c>
      <c r="B510" t="s">
        <v>53</v>
      </c>
      <c r="C510" t="s">
        <v>254</v>
      </c>
      <c r="D510" t="s">
        <v>75</v>
      </c>
      <c r="E510" t="s">
        <v>54</v>
      </c>
      <c r="F510" t="s">
        <v>55</v>
      </c>
      <c r="G510" t="s">
        <v>130</v>
      </c>
      <c r="H510">
        <v>0</v>
      </c>
      <c r="I510" t="s">
        <v>21</v>
      </c>
      <c r="J510">
        <v>0</v>
      </c>
      <c r="K510">
        <v>2</v>
      </c>
      <c r="L510">
        <v>3.87</v>
      </c>
      <c r="M510">
        <v>2</v>
      </c>
      <c r="N510" s="1">
        <v>1</v>
      </c>
      <c r="O510">
        <v>1.94</v>
      </c>
      <c r="P510" t="s">
        <v>77</v>
      </c>
      <c r="Q510" s="1">
        <v>0</v>
      </c>
    </row>
    <row r="511" spans="1:17">
      <c r="A511" t="s">
        <v>63</v>
      </c>
      <c r="B511" t="s">
        <v>53</v>
      </c>
      <c r="C511" t="s">
        <v>293</v>
      </c>
      <c r="D511" t="s">
        <v>75</v>
      </c>
      <c r="E511" t="s">
        <v>54</v>
      </c>
      <c r="F511" t="s">
        <v>55</v>
      </c>
      <c r="G511" t="s">
        <v>130</v>
      </c>
      <c r="H511">
        <v>0</v>
      </c>
      <c r="I511" t="s">
        <v>21</v>
      </c>
      <c r="J511">
        <v>0</v>
      </c>
      <c r="K511">
        <v>0</v>
      </c>
      <c r="L511">
        <v>0</v>
      </c>
      <c r="M511">
        <v>0</v>
      </c>
      <c r="N511" t="s">
        <v>77</v>
      </c>
      <c r="O511">
        <v>0</v>
      </c>
      <c r="P511" t="s">
        <v>77</v>
      </c>
      <c r="Q511" s="1">
        <v>0</v>
      </c>
    </row>
    <row r="512" spans="1:17">
      <c r="A512" t="s">
        <v>63</v>
      </c>
      <c r="B512" t="s">
        <v>53</v>
      </c>
      <c r="C512" t="s">
        <v>280</v>
      </c>
      <c r="D512" t="s">
        <v>75</v>
      </c>
      <c r="E512" t="s">
        <v>54</v>
      </c>
      <c r="F512" t="s">
        <v>55</v>
      </c>
      <c r="G512" t="s">
        <v>130</v>
      </c>
      <c r="H512">
        <v>0</v>
      </c>
      <c r="I512" t="s">
        <v>21</v>
      </c>
      <c r="J512">
        <v>0</v>
      </c>
      <c r="K512">
        <v>0</v>
      </c>
      <c r="L512">
        <v>0</v>
      </c>
      <c r="M512">
        <v>0</v>
      </c>
      <c r="N512" t="s">
        <v>77</v>
      </c>
      <c r="O512">
        <v>0</v>
      </c>
      <c r="P512" t="s">
        <v>77</v>
      </c>
      <c r="Q512" s="1">
        <v>0</v>
      </c>
    </row>
    <row r="513" spans="1:17">
      <c r="A513" t="s">
        <v>63</v>
      </c>
      <c r="B513" t="s">
        <v>53</v>
      </c>
      <c r="C513" t="s">
        <v>182</v>
      </c>
      <c r="D513" t="s">
        <v>75</v>
      </c>
      <c r="E513" t="s">
        <v>54</v>
      </c>
      <c r="F513" t="s">
        <v>55</v>
      </c>
      <c r="G513" t="s">
        <v>130</v>
      </c>
      <c r="H513">
        <v>0</v>
      </c>
      <c r="I513" t="s">
        <v>21</v>
      </c>
      <c r="J513">
        <v>0</v>
      </c>
      <c r="K513">
        <v>0</v>
      </c>
      <c r="L513">
        <v>0</v>
      </c>
      <c r="M513">
        <v>0</v>
      </c>
      <c r="N513" t="s">
        <v>77</v>
      </c>
      <c r="O513">
        <v>0</v>
      </c>
      <c r="P513" t="s">
        <v>77</v>
      </c>
      <c r="Q513" s="1">
        <v>0</v>
      </c>
    </row>
    <row r="514" spans="1:17">
      <c r="A514" t="s">
        <v>63</v>
      </c>
      <c r="B514" t="s">
        <v>53</v>
      </c>
      <c r="C514" t="s">
        <v>249</v>
      </c>
      <c r="D514" t="s">
        <v>75</v>
      </c>
      <c r="E514" t="s">
        <v>54</v>
      </c>
      <c r="F514" t="s">
        <v>55</v>
      </c>
      <c r="G514" t="s">
        <v>130</v>
      </c>
      <c r="H514">
        <v>0</v>
      </c>
      <c r="I514" t="s">
        <v>21</v>
      </c>
      <c r="J514">
        <v>0</v>
      </c>
      <c r="K514">
        <v>0</v>
      </c>
      <c r="L514">
        <v>0</v>
      </c>
      <c r="M514">
        <v>0</v>
      </c>
      <c r="N514" t="s">
        <v>77</v>
      </c>
      <c r="O514">
        <v>0</v>
      </c>
      <c r="P514" t="s">
        <v>77</v>
      </c>
      <c r="Q514" s="1">
        <v>0</v>
      </c>
    </row>
    <row r="515" spans="1:17">
      <c r="A515" t="s">
        <v>63</v>
      </c>
      <c r="B515" t="s">
        <v>53</v>
      </c>
      <c r="C515" t="s">
        <v>193</v>
      </c>
      <c r="D515" t="s">
        <v>75</v>
      </c>
      <c r="E515" t="s">
        <v>54</v>
      </c>
      <c r="F515" t="s">
        <v>55</v>
      </c>
      <c r="G515" t="s">
        <v>130</v>
      </c>
      <c r="H515">
        <v>0</v>
      </c>
      <c r="I515" t="s">
        <v>21</v>
      </c>
      <c r="J515">
        <v>0</v>
      </c>
      <c r="K515">
        <v>0</v>
      </c>
      <c r="L515">
        <v>0</v>
      </c>
      <c r="M515">
        <v>0</v>
      </c>
      <c r="N515" t="s">
        <v>77</v>
      </c>
      <c r="O515">
        <v>0</v>
      </c>
      <c r="P515" t="s">
        <v>77</v>
      </c>
      <c r="Q515" s="1">
        <v>0</v>
      </c>
    </row>
    <row r="516" spans="1:17">
      <c r="A516" t="s">
        <v>63</v>
      </c>
      <c r="B516" t="s">
        <v>53</v>
      </c>
      <c r="C516" t="s">
        <v>194</v>
      </c>
      <c r="D516" t="s">
        <v>75</v>
      </c>
      <c r="E516" t="s">
        <v>54</v>
      </c>
      <c r="F516" t="s">
        <v>55</v>
      </c>
      <c r="G516" t="s">
        <v>130</v>
      </c>
      <c r="H516">
        <v>0</v>
      </c>
      <c r="I516" t="s">
        <v>21</v>
      </c>
      <c r="J516">
        <v>0</v>
      </c>
      <c r="K516">
        <v>0</v>
      </c>
      <c r="L516">
        <v>0</v>
      </c>
      <c r="M516">
        <v>0</v>
      </c>
      <c r="N516" t="s">
        <v>77</v>
      </c>
      <c r="O516">
        <v>0</v>
      </c>
      <c r="P516" t="s">
        <v>77</v>
      </c>
      <c r="Q516" s="1">
        <v>0</v>
      </c>
    </row>
    <row r="517" spans="1:17">
      <c r="A517" t="s">
        <v>63</v>
      </c>
      <c r="B517" t="s">
        <v>53</v>
      </c>
      <c r="C517" t="s">
        <v>210</v>
      </c>
      <c r="D517" t="s">
        <v>75</v>
      </c>
      <c r="E517" t="s">
        <v>54</v>
      </c>
      <c r="F517" t="s">
        <v>55</v>
      </c>
      <c r="G517" t="s">
        <v>130</v>
      </c>
      <c r="H517">
        <v>0</v>
      </c>
      <c r="I517" t="s">
        <v>21</v>
      </c>
      <c r="J517">
        <v>0</v>
      </c>
      <c r="K517">
        <v>0</v>
      </c>
      <c r="L517">
        <v>0</v>
      </c>
      <c r="M517">
        <v>0</v>
      </c>
      <c r="N517" t="s">
        <v>77</v>
      </c>
      <c r="O517">
        <v>0</v>
      </c>
      <c r="P517" t="s">
        <v>77</v>
      </c>
      <c r="Q517" s="1">
        <v>0</v>
      </c>
    </row>
    <row r="518" spans="1:17">
      <c r="A518" t="s">
        <v>63</v>
      </c>
      <c r="B518" t="s">
        <v>53</v>
      </c>
      <c r="C518" t="s">
        <v>179</v>
      </c>
      <c r="D518" t="s">
        <v>79</v>
      </c>
      <c r="E518" t="s">
        <v>54</v>
      </c>
      <c r="F518" t="s">
        <v>55</v>
      </c>
      <c r="G518" t="s">
        <v>130</v>
      </c>
      <c r="H518">
        <v>0</v>
      </c>
      <c r="I518" t="s">
        <v>21</v>
      </c>
      <c r="J518">
        <v>0</v>
      </c>
      <c r="K518">
        <v>0</v>
      </c>
      <c r="L518">
        <v>0</v>
      </c>
      <c r="M518">
        <v>0</v>
      </c>
      <c r="N518" t="s">
        <v>77</v>
      </c>
      <c r="O518">
        <v>0</v>
      </c>
      <c r="P518" t="s">
        <v>77</v>
      </c>
      <c r="Q518" s="1">
        <v>0</v>
      </c>
    </row>
    <row r="519" spans="1:17">
      <c r="A519" t="s">
        <v>63</v>
      </c>
      <c r="B519" t="s">
        <v>53</v>
      </c>
      <c r="C519" t="s">
        <v>291</v>
      </c>
      <c r="D519" t="s">
        <v>75</v>
      </c>
      <c r="E519" t="s">
        <v>54</v>
      </c>
      <c r="F519" t="s">
        <v>55</v>
      </c>
      <c r="G519" t="s">
        <v>130</v>
      </c>
      <c r="H519">
        <v>0</v>
      </c>
      <c r="I519" t="s">
        <v>21</v>
      </c>
      <c r="J519">
        <v>0</v>
      </c>
      <c r="K519">
        <v>0</v>
      </c>
      <c r="L519">
        <v>0</v>
      </c>
      <c r="M519">
        <v>0</v>
      </c>
      <c r="N519" t="s">
        <v>77</v>
      </c>
      <c r="O519">
        <v>0</v>
      </c>
      <c r="P519" t="s">
        <v>77</v>
      </c>
      <c r="Q519" s="1">
        <v>0</v>
      </c>
    </row>
    <row r="520" spans="1:17">
      <c r="A520" t="s">
        <v>63</v>
      </c>
      <c r="B520" t="s">
        <v>53</v>
      </c>
      <c r="C520" t="s">
        <v>141</v>
      </c>
      <c r="D520" t="s">
        <v>75</v>
      </c>
      <c r="E520" t="s">
        <v>54</v>
      </c>
      <c r="F520" t="s">
        <v>55</v>
      </c>
      <c r="G520" t="s">
        <v>130</v>
      </c>
      <c r="H520">
        <v>0</v>
      </c>
      <c r="I520" t="s">
        <v>21</v>
      </c>
      <c r="J520">
        <v>0</v>
      </c>
      <c r="K520">
        <v>0</v>
      </c>
      <c r="L520">
        <v>0</v>
      </c>
      <c r="M520">
        <v>0</v>
      </c>
      <c r="N520" t="s">
        <v>77</v>
      </c>
      <c r="O520">
        <v>0</v>
      </c>
      <c r="P520" t="s">
        <v>77</v>
      </c>
      <c r="Q520" s="1">
        <v>0</v>
      </c>
    </row>
    <row r="521" spans="1:17">
      <c r="A521" t="s">
        <v>63</v>
      </c>
      <c r="B521" t="s">
        <v>53</v>
      </c>
      <c r="C521" t="s">
        <v>224</v>
      </c>
      <c r="D521" t="s">
        <v>75</v>
      </c>
      <c r="E521" t="s">
        <v>54</v>
      </c>
      <c r="F521" t="s">
        <v>55</v>
      </c>
      <c r="G521" t="s">
        <v>130</v>
      </c>
      <c r="H521">
        <v>0</v>
      </c>
      <c r="I521" t="s">
        <v>21</v>
      </c>
      <c r="J521">
        <v>0</v>
      </c>
      <c r="K521">
        <v>0</v>
      </c>
      <c r="L521">
        <v>0</v>
      </c>
      <c r="M521">
        <v>0</v>
      </c>
      <c r="N521" t="s">
        <v>77</v>
      </c>
      <c r="O521">
        <v>0</v>
      </c>
      <c r="P521">
        <v>5</v>
      </c>
      <c r="Q521" s="1">
        <v>0</v>
      </c>
    </row>
    <row r="522" spans="1:17">
      <c r="A522" t="s">
        <v>63</v>
      </c>
      <c r="B522" t="s">
        <v>53</v>
      </c>
      <c r="C522" t="s">
        <v>171</v>
      </c>
      <c r="D522" t="s">
        <v>75</v>
      </c>
      <c r="E522" t="s">
        <v>54</v>
      </c>
      <c r="F522" t="s">
        <v>55</v>
      </c>
      <c r="G522" t="s">
        <v>130</v>
      </c>
      <c r="H522">
        <v>0</v>
      </c>
      <c r="I522" t="s">
        <v>21</v>
      </c>
      <c r="J522">
        <v>0</v>
      </c>
      <c r="K522">
        <v>0</v>
      </c>
      <c r="L522">
        <v>0</v>
      </c>
      <c r="M522">
        <v>0</v>
      </c>
      <c r="N522" t="s">
        <v>77</v>
      </c>
      <c r="O522">
        <v>0</v>
      </c>
      <c r="P522" t="s">
        <v>77</v>
      </c>
      <c r="Q522" s="1">
        <v>0</v>
      </c>
    </row>
    <row r="523" spans="1:17">
      <c r="A523" t="s">
        <v>63</v>
      </c>
      <c r="B523" t="s">
        <v>53</v>
      </c>
      <c r="C523" t="s">
        <v>315</v>
      </c>
      <c r="D523" t="s">
        <v>75</v>
      </c>
      <c r="E523" t="s">
        <v>54</v>
      </c>
      <c r="F523" t="s">
        <v>55</v>
      </c>
      <c r="G523" t="s">
        <v>130</v>
      </c>
      <c r="H523">
        <v>0</v>
      </c>
      <c r="I523" t="s">
        <v>21</v>
      </c>
      <c r="J523">
        <v>0</v>
      </c>
      <c r="K523">
        <v>0</v>
      </c>
      <c r="L523">
        <v>0</v>
      </c>
      <c r="M523">
        <v>0</v>
      </c>
      <c r="N523" t="s">
        <v>77</v>
      </c>
      <c r="O523">
        <v>0</v>
      </c>
      <c r="P523" t="s">
        <v>77</v>
      </c>
      <c r="Q523" s="1">
        <v>0</v>
      </c>
    </row>
    <row r="524" spans="1:17">
      <c r="A524" t="s">
        <v>63</v>
      </c>
      <c r="B524" t="s">
        <v>53</v>
      </c>
      <c r="C524" t="s">
        <v>225</v>
      </c>
      <c r="D524" t="s">
        <v>79</v>
      </c>
      <c r="E524" t="s">
        <v>54</v>
      </c>
      <c r="F524" t="s">
        <v>55</v>
      </c>
      <c r="G524" t="s">
        <v>130</v>
      </c>
      <c r="H524">
        <v>0</v>
      </c>
      <c r="I524" t="s">
        <v>21</v>
      </c>
      <c r="J524">
        <v>0</v>
      </c>
      <c r="K524">
        <v>0</v>
      </c>
      <c r="L524">
        <v>0</v>
      </c>
      <c r="M524">
        <v>0</v>
      </c>
      <c r="N524" t="s">
        <v>77</v>
      </c>
      <c r="O524">
        <v>0</v>
      </c>
      <c r="P524" t="s">
        <v>77</v>
      </c>
      <c r="Q524" s="1">
        <v>0</v>
      </c>
    </row>
    <row r="525" spans="1:17">
      <c r="A525" t="s">
        <v>63</v>
      </c>
      <c r="B525" t="s">
        <v>53</v>
      </c>
      <c r="C525" t="s">
        <v>305</v>
      </c>
      <c r="D525" t="s">
        <v>82</v>
      </c>
      <c r="E525" t="s">
        <v>54</v>
      </c>
      <c r="F525" t="s">
        <v>55</v>
      </c>
      <c r="G525" t="s">
        <v>130</v>
      </c>
      <c r="H525">
        <v>0</v>
      </c>
      <c r="I525" t="s">
        <v>21</v>
      </c>
      <c r="J525">
        <v>0</v>
      </c>
      <c r="K525">
        <v>0</v>
      </c>
      <c r="L525">
        <v>0</v>
      </c>
      <c r="M525">
        <v>0</v>
      </c>
      <c r="N525" t="s">
        <v>77</v>
      </c>
      <c r="O525">
        <v>0</v>
      </c>
      <c r="P525" t="s">
        <v>77</v>
      </c>
      <c r="Q525" s="1">
        <v>0</v>
      </c>
    </row>
    <row r="526" spans="1:17">
      <c r="A526" t="s">
        <v>63</v>
      </c>
      <c r="B526" t="s">
        <v>53</v>
      </c>
      <c r="C526" t="s">
        <v>155</v>
      </c>
      <c r="D526" t="s">
        <v>75</v>
      </c>
      <c r="E526" t="s">
        <v>54</v>
      </c>
      <c r="F526" t="s">
        <v>55</v>
      </c>
      <c r="G526" t="s">
        <v>130</v>
      </c>
      <c r="H526">
        <v>0</v>
      </c>
      <c r="I526" t="s">
        <v>21</v>
      </c>
      <c r="J526">
        <v>0</v>
      </c>
      <c r="K526">
        <v>0</v>
      </c>
      <c r="L526">
        <v>0</v>
      </c>
      <c r="M526">
        <v>0</v>
      </c>
      <c r="N526" t="s">
        <v>77</v>
      </c>
      <c r="O526">
        <v>0</v>
      </c>
      <c r="P526" t="s">
        <v>77</v>
      </c>
      <c r="Q526" s="1">
        <v>0</v>
      </c>
    </row>
    <row r="527" spans="1:17">
      <c r="A527" t="s">
        <v>63</v>
      </c>
      <c r="B527" t="s">
        <v>18</v>
      </c>
      <c r="C527" t="s">
        <v>325</v>
      </c>
      <c r="D527" t="s">
        <v>75</v>
      </c>
      <c r="E527" t="s">
        <v>54</v>
      </c>
      <c r="F527" t="s">
        <v>18</v>
      </c>
      <c r="G527" t="s">
        <v>153</v>
      </c>
      <c r="H527">
        <v>0</v>
      </c>
      <c r="I527" t="s">
        <v>21</v>
      </c>
      <c r="J527">
        <v>0</v>
      </c>
      <c r="K527">
        <v>10</v>
      </c>
      <c r="L527">
        <v>30.62</v>
      </c>
      <c r="M527">
        <v>149</v>
      </c>
      <c r="N527" s="1">
        <v>6.7100000000000007E-2</v>
      </c>
      <c r="O527">
        <v>3.06</v>
      </c>
      <c r="P527" t="s">
        <v>77</v>
      </c>
      <c r="Q527" s="1">
        <v>0</v>
      </c>
    </row>
    <row r="528" spans="1:17">
      <c r="A528" t="s">
        <v>63</v>
      </c>
      <c r="B528" t="s">
        <v>53</v>
      </c>
      <c r="C528" t="s">
        <v>275</v>
      </c>
      <c r="D528" t="s">
        <v>75</v>
      </c>
      <c r="E528" t="s">
        <v>54</v>
      </c>
      <c r="F528" t="s">
        <v>55</v>
      </c>
      <c r="G528" t="s">
        <v>130</v>
      </c>
      <c r="H528">
        <v>0</v>
      </c>
      <c r="I528" t="s">
        <v>21</v>
      </c>
      <c r="J528">
        <v>0</v>
      </c>
      <c r="K528">
        <v>0</v>
      </c>
      <c r="L528">
        <v>0</v>
      </c>
      <c r="M528">
        <v>0</v>
      </c>
      <c r="N528" t="s">
        <v>77</v>
      </c>
      <c r="O528">
        <v>0</v>
      </c>
      <c r="P528" t="s">
        <v>77</v>
      </c>
      <c r="Q528" s="1">
        <v>0</v>
      </c>
    </row>
    <row r="529" spans="1:17">
      <c r="A529" t="s">
        <v>63</v>
      </c>
      <c r="B529" t="s">
        <v>53</v>
      </c>
      <c r="C529" t="s">
        <v>256</v>
      </c>
      <c r="D529" t="s">
        <v>75</v>
      </c>
      <c r="E529" t="s">
        <v>54</v>
      </c>
      <c r="F529" t="s">
        <v>55</v>
      </c>
      <c r="G529" t="s">
        <v>130</v>
      </c>
      <c r="H529">
        <v>0</v>
      </c>
      <c r="I529" t="s">
        <v>21</v>
      </c>
      <c r="J529">
        <v>0</v>
      </c>
      <c r="K529">
        <v>0</v>
      </c>
      <c r="L529">
        <v>0</v>
      </c>
      <c r="M529">
        <v>0</v>
      </c>
      <c r="N529" t="s">
        <v>77</v>
      </c>
      <c r="O529">
        <v>0</v>
      </c>
      <c r="P529" t="s">
        <v>77</v>
      </c>
      <c r="Q529" s="1">
        <v>0</v>
      </c>
    </row>
    <row r="530" spans="1:17">
      <c r="A530" t="s">
        <v>63</v>
      </c>
      <c r="B530" t="s">
        <v>53</v>
      </c>
      <c r="C530" t="s">
        <v>158</v>
      </c>
      <c r="D530" t="s">
        <v>75</v>
      </c>
      <c r="E530" t="s">
        <v>54</v>
      </c>
      <c r="F530" t="s">
        <v>55</v>
      </c>
      <c r="G530" t="s">
        <v>130</v>
      </c>
      <c r="H530">
        <v>0</v>
      </c>
      <c r="I530" t="s">
        <v>21</v>
      </c>
      <c r="J530">
        <v>0</v>
      </c>
      <c r="K530">
        <v>0</v>
      </c>
      <c r="L530">
        <v>0</v>
      </c>
      <c r="M530">
        <v>0</v>
      </c>
      <c r="N530" t="s">
        <v>77</v>
      </c>
      <c r="O530">
        <v>0</v>
      </c>
      <c r="P530" t="s">
        <v>77</v>
      </c>
      <c r="Q530" s="1">
        <v>0</v>
      </c>
    </row>
    <row r="531" spans="1:17">
      <c r="A531" t="s">
        <v>63</v>
      </c>
      <c r="B531" t="s">
        <v>53</v>
      </c>
      <c r="C531" t="s">
        <v>306</v>
      </c>
      <c r="D531" t="s">
        <v>75</v>
      </c>
      <c r="E531" t="s">
        <v>54</v>
      </c>
      <c r="F531" t="s">
        <v>55</v>
      </c>
      <c r="G531" t="s">
        <v>130</v>
      </c>
      <c r="H531">
        <v>0</v>
      </c>
      <c r="I531" t="s">
        <v>21</v>
      </c>
      <c r="J531">
        <v>0</v>
      </c>
      <c r="K531">
        <v>0</v>
      </c>
      <c r="L531">
        <v>0</v>
      </c>
      <c r="M531">
        <v>10</v>
      </c>
      <c r="N531" s="1">
        <v>0</v>
      </c>
      <c r="O531">
        <v>0</v>
      </c>
      <c r="P531" t="s">
        <v>77</v>
      </c>
      <c r="Q531" s="1">
        <v>0</v>
      </c>
    </row>
    <row r="532" spans="1:17">
      <c r="A532" t="s">
        <v>63</v>
      </c>
      <c r="B532" t="s">
        <v>53</v>
      </c>
      <c r="C532" t="s">
        <v>302</v>
      </c>
      <c r="D532" t="s">
        <v>75</v>
      </c>
      <c r="E532" t="s">
        <v>54</v>
      </c>
      <c r="F532" t="s">
        <v>55</v>
      </c>
      <c r="G532" t="s">
        <v>130</v>
      </c>
      <c r="H532">
        <v>0</v>
      </c>
      <c r="I532" t="s">
        <v>21</v>
      </c>
      <c r="J532">
        <v>0</v>
      </c>
      <c r="K532">
        <v>0</v>
      </c>
      <c r="L532">
        <v>0</v>
      </c>
      <c r="M532">
        <v>0</v>
      </c>
      <c r="N532" t="s">
        <v>77</v>
      </c>
      <c r="O532">
        <v>0</v>
      </c>
      <c r="P532" t="s">
        <v>77</v>
      </c>
      <c r="Q532" s="1">
        <v>0</v>
      </c>
    </row>
    <row r="533" spans="1:17">
      <c r="A533" t="s">
        <v>63</v>
      </c>
      <c r="B533" t="s">
        <v>53</v>
      </c>
      <c r="C533" t="s">
        <v>142</v>
      </c>
      <c r="D533" t="s">
        <v>75</v>
      </c>
      <c r="E533" t="s">
        <v>54</v>
      </c>
      <c r="F533" t="s">
        <v>55</v>
      </c>
      <c r="G533" t="s">
        <v>130</v>
      </c>
      <c r="H533">
        <v>0</v>
      </c>
      <c r="I533" t="s">
        <v>21</v>
      </c>
      <c r="J533">
        <v>0</v>
      </c>
      <c r="K533">
        <v>0</v>
      </c>
      <c r="L533">
        <v>0</v>
      </c>
      <c r="M533">
        <v>0</v>
      </c>
      <c r="N533" t="s">
        <v>77</v>
      </c>
      <c r="O533">
        <v>0</v>
      </c>
      <c r="P533" t="s">
        <v>77</v>
      </c>
      <c r="Q533" s="1">
        <v>0</v>
      </c>
    </row>
    <row r="534" spans="1:17">
      <c r="A534" t="s">
        <v>63</v>
      </c>
      <c r="B534" t="s">
        <v>53</v>
      </c>
      <c r="C534" t="s">
        <v>192</v>
      </c>
      <c r="D534" t="s">
        <v>79</v>
      </c>
      <c r="E534" t="s">
        <v>54</v>
      </c>
      <c r="F534" t="s">
        <v>55</v>
      </c>
      <c r="G534" t="s">
        <v>130</v>
      </c>
      <c r="H534">
        <v>0</v>
      </c>
      <c r="I534" t="s">
        <v>21</v>
      </c>
      <c r="J534">
        <v>0</v>
      </c>
      <c r="K534">
        <v>0</v>
      </c>
      <c r="L534">
        <v>0</v>
      </c>
      <c r="M534">
        <v>0</v>
      </c>
      <c r="N534" t="s">
        <v>77</v>
      </c>
      <c r="O534">
        <v>0</v>
      </c>
      <c r="P534" t="s">
        <v>77</v>
      </c>
      <c r="Q534" s="1">
        <v>0</v>
      </c>
    </row>
    <row r="535" spans="1:17">
      <c r="A535" t="s">
        <v>63</v>
      </c>
      <c r="B535" t="s">
        <v>18</v>
      </c>
      <c r="C535" t="s">
        <v>203</v>
      </c>
      <c r="D535" t="s">
        <v>75</v>
      </c>
      <c r="E535" t="s">
        <v>54</v>
      </c>
      <c r="F535" t="s">
        <v>18</v>
      </c>
      <c r="G535" t="s">
        <v>153</v>
      </c>
      <c r="H535">
        <v>0</v>
      </c>
      <c r="I535" t="s">
        <v>21</v>
      </c>
      <c r="J535">
        <v>0</v>
      </c>
      <c r="K535">
        <v>0</v>
      </c>
      <c r="L535">
        <v>0</v>
      </c>
      <c r="M535">
        <v>0</v>
      </c>
      <c r="N535" t="s">
        <v>77</v>
      </c>
      <c r="O535">
        <v>0</v>
      </c>
      <c r="P535" t="s">
        <v>77</v>
      </c>
      <c r="Q535" s="1">
        <v>0</v>
      </c>
    </row>
    <row r="536" spans="1:17">
      <c r="A536" t="s">
        <v>63</v>
      </c>
      <c r="B536" t="s">
        <v>53</v>
      </c>
      <c r="C536" t="s">
        <v>261</v>
      </c>
      <c r="D536" t="s">
        <v>75</v>
      </c>
      <c r="E536" t="s">
        <v>54</v>
      </c>
      <c r="F536" t="s">
        <v>55</v>
      </c>
      <c r="G536" t="s">
        <v>130</v>
      </c>
      <c r="H536">
        <v>0</v>
      </c>
      <c r="I536" t="s">
        <v>21</v>
      </c>
      <c r="J536">
        <v>0</v>
      </c>
      <c r="K536">
        <v>0</v>
      </c>
      <c r="L536">
        <v>0</v>
      </c>
      <c r="M536">
        <v>0</v>
      </c>
      <c r="N536" t="s">
        <v>77</v>
      </c>
      <c r="O536">
        <v>0</v>
      </c>
      <c r="P536" t="s">
        <v>77</v>
      </c>
      <c r="Q536" s="1">
        <v>0</v>
      </c>
    </row>
    <row r="537" spans="1:17">
      <c r="A537" t="s">
        <v>63</v>
      </c>
      <c r="B537" t="s">
        <v>53</v>
      </c>
      <c r="C537" t="s">
        <v>131</v>
      </c>
      <c r="D537" t="s">
        <v>75</v>
      </c>
      <c r="E537" t="s">
        <v>54</v>
      </c>
      <c r="F537" t="s">
        <v>55</v>
      </c>
      <c r="G537" t="s">
        <v>130</v>
      </c>
      <c r="H537">
        <v>0</v>
      </c>
      <c r="I537" t="s">
        <v>21</v>
      </c>
      <c r="J537">
        <v>0</v>
      </c>
      <c r="K537">
        <v>0</v>
      </c>
      <c r="L537">
        <v>0</v>
      </c>
      <c r="M537">
        <v>0</v>
      </c>
      <c r="N537" t="s">
        <v>77</v>
      </c>
      <c r="O537">
        <v>0</v>
      </c>
      <c r="P537" t="s">
        <v>77</v>
      </c>
      <c r="Q537" s="1">
        <v>0</v>
      </c>
    </row>
    <row r="538" spans="1:17">
      <c r="A538" t="s">
        <v>63</v>
      </c>
      <c r="B538" t="s">
        <v>53</v>
      </c>
      <c r="C538" t="s">
        <v>187</v>
      </c>
      <c r="D538" t="s">
        <v>75</v>
      </c>
      <c r="E538" t="s">
        <v>54</v>
      </c>
      <c r="F538" t="s">
        <v>55</v>
      </c>
      <c r="G538" t="s">
        <v>130</v>
      </c>
      <c r="H538">
        <v>0</v>
      </c>
      <c r="I538" t="s">
        <v>21</v>
      </c>
      <c r="J538">
        <v>0</v>
      </c>
      <c r="K538">
        <v>1</v>
      </c>
      <c r="L538">
        <v>1.18</v>
      </c>
      <c r="M538">
        <v>18</v>
      </c>
      <c r="N538" s="1">
        <v>5.5599999999999997E-2</v>
      </c>
      <c r="O538">
        <v>1.18</v>
      </c>
      <c r="P538" t="s">
        <v>77</v>
      </c>
      <c r="Q538" s="1">
        <v>0</v>
      </c>
    </row>
    <row r="539" spans="1:17">
      <c r="A539" t="s">
        <v>63</v>
      </c>
      <c r="B539" t="s">
        <v>53</v>
      </c>
      <c r="C539" t="s">
        <v>170</v>
      </c>
      <c r="D539" t="s">
        <v>75</v>
      </c>
      <c r="E539" t="s">
        <v>54</v>
      </c>
      <c r="F539" t="s">
        <v>55</v>
      </c>
      <c r="G539" t="s">
        <v>130</v>
      </c>
      <c r="H539">
        <v>0</v>
      </c>
      <c r="I539" t="s">
        <v>21</v>
      </c>
      <c r="J539">
        <v>0</v>
      </c>
      <c r="K539">
        <v>0</v>
      </c>
      <c r="L539">
        <v>0</v>
      </c>
      <c r="M539">
        <v>0</v>
      </c>
      <c r="N539" t="s">
        <v>77</v>
      </c>
      <c r="O539">
        <v>0</v>
      </c>
      <c r="P539" t="s">
        <v>77</v>
      </c>
      <c r="Q539" s="1">
        <v>0</v>
      </c>
    </row>
    <row r="540" spans="1:17">
      <c r="A540" t="s">
        <v>63</v>
      </c>
      <c r="B540" t="s">
        <v>53</v>
      </c>
      <c r="C540" t="s">
        <v>368</v>
      </c>
      <c r="D540" t="s">
        <v>75</v>
      </c>
      <c r="E540" t="s">
        <v>54</v>
      </c>
      <c r="F540" t="s">
        <v>55</v>
      </c>
      <c r="G540" t="s">
        <v>130</v>
      </c>
      <c r="H540">
        <v>0</v>
      </c>
      <c r="I540" t="s">
        <v>21</v>
      </c>
      <c r="J540">
        <v>0</v>
      </c>
      <c r="K540">
        <v>0</v>
      </c>
      <c r="L540">
        <v>0</v>
      </c>
      <c r="M540">
        <v>0</v>
      </c>
      <c r="N540" t="s">
        <v>77</v>
      </c>
      <c r="O540">
        <v>0</v>
      </c>
      <c r="P540" t="s">
        <v>77</v>
      </c>
      <c r="Q540" s="1">
        <v>0</v>
      </c>
    </row>
    <row r="541" spans="1:17">
      <c r="A541" t="s">
        <v>63</v>
      </c>
      <c r="B541" t="s">
        <v>53</v>
      </c>
      <c r="C541" t="s">
        <v>264</v>
      </c>
      <c r="D541" t="s">
        <v>75</v>
      </c>
      <c r="E541" t="s">
        <v>54</v>
      </c>
      <c r="F541" t="s">
        <v>55</v>
      </c>
      <c r="G541" t="s">
        <v>130</v>
      </c>
      <c r="H541">
        <v>0</v>
      </c>
      <c r="I541" t="s">
        <v>21</v>
      </c>
      <c r="J541">
        <v>0</v>
      </c>
      <c r="K541">
        <v>0</v>
      </c>
      <c r="L541">
        <v>0</v>
      </c>
      <c r="M541">
        <v>3</v>
      </c>
      <c r="N541" s="1">
        <v>0</v>
      </c>
      <c r="O541">
        <v>0</v>
      </c>
      <c r="P541" t="s">
        <v>77</v>
      </c>
      <c r="Q541" s="1">
        <v>0</v>
      </c>
    </row>
    <row r="542" spans="1:17">
      <c r="A542" t="s">
        <v>63</v>
      </c>
      <c r="B542" t="s">
        <v>53</v>
      </c>
      <c r="C542" t="s">
        <v>252</v>
      </c>
      <c r="D542" t="s">
        <v>75</v>
      </c>
      <c r="E542" t="s">
        <v>54</v>
      </c>
      <c r="F542" t="s">
        <v>55</v>
      </c>
      <c r="G542" t="s">
        <v>130</v>
      </c>
      <c r="H542">
        <v>0</v>
      </c>
      <c r="I542" t="s">
        <v>21</v>
      </c>
      <c r="J542">
        <v>0</v>
      </c>
      <c r="K542">
        <v>0</v>
      </c>
      <c r="L542">
        <v>0</v>
      </c>
      <c r="M542">
        <v>1</v>
      </c>
      <c r="N542" s="1">
        <v>0</v>
      </c>
      <c r="O542">
        <v>0</v>
      </c>
      <c r="P542" t="s">
        <v>77</v>
      </c>
      <c r="Q542" s="1">
        <v>0</v>
      </c>
    </row>
    <row r="543" spans="1:17">
      <c r="A543" t="s">
        <v>63</v>
      </c>
      <c r="B543" t="s">
        <v>53</v>
      </c>
      <c r="C543" t="s">
        <v>204</v>
      </c>
      <c r="D543" t="s">
        <v>82</v>
      </c>
      <c r="E543" t="s">
        <v>54</v>
      </c>
      <c r="F543" t="s">
        <v>55</v>
      </c>
      <c r="G543" t="s">
        <v>130</v>
      </c>
      <c r="H543">
        <v>0</v>
      </c>
      <c r="I543" t="s">
        <v>21</v>
      </c>
      <c r="J543">
        <v>0</v>
      </c>
      <c r="K543">
        <v>0</v>
      </c>
      <c r="L543">
        <v>0</v>
      </c>
      <c r="M543">
        <v>0</v>
      </c>
      <c r="N543" t="s">
        <v>77</v>
      </c>
      <c r="O543">
        <v>0</v>
      </c>
      <c r="P543" t="s">
        <v>77</v>
      </c>
      <c r="Q543" s="1">
        <v>0</v>
      </c>
    </row>
    <row r="544" spans="1:17">
      <c r="A544" t="s">
        <v>63</v>
      </c>
      <c r="B544" t="s">
        <v>53</v>
      </c>
      <c r="C544" t="s">
        <v>266</v>
      </c>
      <c r="D544" t="s">
        <v>79</v>
      </c>
      <c r="E544" t="s">
        <v>54</v>
      </c>
      <c r="F544" t="s">
        <v>55</v>
      </c>
      <c r="G544" t="s">
        <v>130</v>
      </c>
      <c r="H544">
        <v>0</v>
      </c>
      <c r="I544" t="s">
        <v>21</v>
      </c>
      <c r="J544">
        <v>0</v>
      </c>
      <c r="K544">
        <v>0</v>
      </c>
      <c r="L544">
        <v>0</v>
      </c>
      <c r="M544">
        <v>0</v>
      </c>
      <c r="N544" t="s">
        <v>77</v>
      </c>
      <c r="O544">
        <v>0</v>
      </c>
      <c r="P544">
        <v>8</v>
      </c>
      <c r="Q544" s="1">
        <v>0</v>
      </c>
    </row>
    <row r="545" spans="1:17">
      <c r="A545" t="s">
        <v>63</v>
      </c>
      <c r="B545" t="s">
        <v>53</v>
      </c>
      <c r="C545" t="s">
        <v>288</v>
      </c>
      <c r="D545" t="s">
        <v>82</v>
      </c>
      <c r="E545" t="s">
        <v>54</v>
      </c>
      <c r="F545" t="s">
        <v>55</v>
      </c>
      <c r="G545" t="s">
        <v>130</v>
      </c>
      <c r="H545">
        <v>0</v>
      </c>
      <c r="I545" t="s">
        <v>21</v>
      </c>
      <c r="J545">
        <v>0</v>
      </c>
      <c r="K545">
        <v>0</v>
      </c>
      <c r="L545">
        <v>0</v>
      </c>
      <c r="M545">
        <v>2</v>
      </c>
      <c r="N545" s="1">
        <v>0</v>
      </c>
      <c r="O545">
        <v>0</v>
      </c>
      <c r="P545">
        <v>5</v>
      </c>
      <c r="Q545" s="1">
        <v>0</v>
      </c>
    </row>
    <row r="546" spans="1:17">
      <c r="A546" t="s">
        <v>63</v>
      </c>
      <c r="B546" t="s">
        <v>53</v>
      </c>
      <c r="C546" t="s">
        <v>208</v>
      </c>
      <c r="D546" t="s">
        <v>75</v>
      </c>
      <c r="E546" t="s">
        <v>54</v>
      </c>
      <c r="F546" t="s">
        <v>55</v>
      </c>
      <c r="G546" t="s">
        <v>130</v>
      </c>
      <c r="H546">
        <v>0</v>
      </c>
      <c r="I546" t="s">
        <v>21</v>
      </c>
      <c r="J546">
        <v>0</v>
      </c>
      <c r="K546">
        <v>0</v>
      </c>
      <c r="L546">
        <v>0</v>
      </c>
      <c r="M546">
        <v>0</v>
      </c>
      <c r="N546" t="s">
        <v>77</v>
      </c>
      <c r="O546">
        <v>0</v>
      </c>
      <c r="P546" t="s">
        <v>77</v>
      </c>
      <c r="Q546" s="1">
        <v>0</v>
      </c>
    </row>
    <row r="547" spans="1:17">
      <c r="A547" t="s">
        <v>63</v>
      </c>
      <c r="B547" t="s">
        <v>53</v>
      </c>
      <c r="C547" t="s">
        <v>272</v>
      </c>
      <c r="D547" t="s">
        <v>75</v>
      </c>
      <c r="E547" t="s">
        <v>54</v>
      </c>
      <c r="F547" t="s">
        <v>55</v>
      </c>
      <c r="G547" t="s">
        <v>130</v>
      </c>
      <c r="H547">
        <v>0</v>
      </c>
      <c r="I547" t="s">
        <v>21</v>
      </c>
      <c r="J547">
        <v>0</v>
      </c>
      <c r="K547">
        <v>0</v>
      </c>
      <c r="L547">
        <v>0</v>
      </c>
      <c r="M547">
        <v>0</v>
      </c>
      <c r="N547" t="s">
        <v>77</v>
      </c>
      <c r="O547">
        <v>0</v>
      </c>
      <c r="P547" t="s">
        <v>77</v>
      </c>
      <c r="Q547" s="1">
        <v>0</v>
      </c>
    </row>
    <row r="548" spans="1:17">
      <c r="A548" t="s">
        <v>63</v>
      </c>
      <c r="B548" t="s">
        <v>53</v>
      </c>
      <c r="C548" t="s">
        <v>316</v>
      </c>
      <c r="D548" t="s">
        <v>75</v>
      </c>
      <c r="E548" t="s">
        <v>54</v>
      </c>
      <c r="F548" t="s">
        <v>55</v>
      </c>
      <c r="G548" t="s">
        <v>130</v>
      </c>
      <c r="H548">
        <v>0</v>
      </c>
      <c r="I548" t="s">
        <v>21</v>
      </c>
      <c r="J548">
        <v>0</v>
      </c>
      <c r="K548">
        <v>0</v>
      </c>
      <c r="L548">
        <v>0</v>
      </c>
      <c r="M548">
        <v>0</v>
      </c>
      <c r="N548" t="s">
        <v>77</v>
      </c>
      <c r="O548">
        <v>0</v>
      </c>
      <c r="P548" t="s">
        <v>77</v>
      </c>
      <c r="Q548" s="1">
        <v>0</v>
      </c>
    </row>
    <row r="549" spans="1:17">
      <c r="A549" t="s">
        <v>63</v>
      </c>
      <c r="B549" t="s">
        <v>53</v>
      </c>
      <c r="C549" t="s">
        <v>139</v>
      </c>
      <c r="D549" t="s">
        <v>75</v>
      </c>
      <c r="E549" t="s">
        <v>54</v>
      </c>
      <c r="F549" t="s">
        <v>55</v>
      </c>
      <c r="G549" t="s">
        <v>130</v>
      </c>
      <c r="H549">
        <v>0</v>
      </c>
      <c r="I549" t="s">
        <v>21</v>
      </c>
      <c r="J549">
        <v>0</v>
      </c>
      <c r="K549">
        <v>0</v>
      </c>
      <c r="L549">
        <v>0</v>
      </c>
      <c r="M549">
        <v>0</v>
      </c>
      <c r="N549" t="s">
        <v>77</v>
      </c>
      <c r="O549">
        <v>0</v>
      </c>
      <c r="P549" t="s">
        <v>77</v>
      </c>
      <c r="Q549" s="1">
        <v>0</v>
      </c>
    </row>
    <row r="550" spans="1:17">
      <c r="A550" t="s">
        <v>63</v>
      </c>
      <c r="B550" t="s">
        <v>53</v>
      </c>
      <c r="C550" t="s">
        <v>251</v>
      </c>
      <c r="D550" t="s">
        <v>75</v>
      </c>
      <c r="E550" t="s">
        <v>54</v>
      </c>
      <c r="F550" t="s">
        <v>55</v>
      </c>
      <c r="G550" t="s">
        <v>130</v>
      </c>
      <c r="H550">
        <v>0</v>
      </c>
      <c r="I550" t="s">
        <v>21</v>
      </c>
      <c r="J550">
        <v>0</v>
      </c>
      <c r="K550">
        <v>0</v>
      </c>
      <c r="L550">
        <v>0</v>
      </c>
      <c r="M550">
        <v>0</v>
      </c>
      <c r="N550" t="s">
        <v>77</v>
      </c>
      <c r="O550">
        <v>0</v>
      </c>
      <c r="P550" t="s">
        <v>77</v>
      </c>
      <c r="Q550" s="1">
        <v>0</v>
      </c>
    </row>
    <row r="551" spans="1:17">
      <c r="A551" t="s">
        <v>63</v>
      </c>
      <c r="B551" t="s">
        <v>53</v>
      </c>
      <c r="C551" t="s">
        <v>175</v>
      </c>
      <c r="D551" t="s">
        <v>75</v>
      </c>
      <c r="E551" t="s">
        <v>54</v>
      </c>
      <c r="F551" t="s">
        <v>55</v>
      </c>
      <c r="G551" t="s">
        <v>130</v>
      </c>
      <c r="H551">
        <v>0</v>
      </c>
      <c r="I551" t="s">
        <v>21</v>
      </c>
      <c r="J551">
        <v>0</v>
      </c>
      <c r="K551">
        <v>0</v>
      </c>
      <c r="L551">
        <v>0</v>
      </c>
      <c r="M551">
        <v>0</v>
      </c>
      <c r="N551" t="s">
        <v>77</v>
      </c>
      <c r="O551">
        <v>0</v>
      </c>
      <c r="P551" t="s">
        <v>77</v>
      </c>
      <c r="Q551" s="1">
        <v>0</v>
      </c>
    </row>
    <row r="552" spans="1:17">
      <c r="A552" t="s">
        <v>63</v>
      </c>
      <c r="B552" t="s">
        <v>53</v>
      </c>
      <c r="C552" t="s">
        <v>330</v>
      </c>
      <c r="D552" t="s">
        <v>75</v>
      </c>
      <c r="E552" t="s">
        <v>54</v>
      </c>
      <c r="F552" t="s">
        <v>55</v>
      </c>
      <c r="G552" t="s">
        <v>130</v>
      </c>
      <c r="H552">
        <v>0</v>
      </c>
      <c r="I552" t="s">
        <v>21</v>
      </c>
      <c r="J552">
        <v>0</v>
      </c>
      <c r="K552">
        <v>0</v>
      </c>
      <c r="L552">
        <v>0</v>
      </c>
      <c r="M552">
        <v>0</v>
      </c>
      <c r="N552" t="s">
        <v>77</v>
      </c>
      <c r="O552">
        <v>0</v>
      </c>
      <c r="P552" t="s">
        <v>77</v>
      </c>
      <c r="Q552" s="1">
        <v>0</v>
      </c>
    </row>
    <row r="553" spans="1:17">
      <c r="A553" t="s">
        <v>63</v>
      </c>
      <c r="B553" t="s">
        <v>53</v>
      </c>
      <c r="C553" t="s">
        <v>268</v>
      </c>
      <c r="D553" t="s">
        <v>75</v>
      </c>
      <c r="E553" t="s">
        <v>54</v>
      </c>
      <c r="F553" t="s">
        <v>55</v>
      </c>
      <c r="G553" t="s">
        <v>130</v>
      </c>
      <c r="H553">
        <v>0</v>
      </c>
      <c r="I553" t="s">
        <v>21</v>
      </c>
      <c r="J553">
        <v>0</v>
      </c>
      <c r="K553">
        <v>0</v>
      </c>
      <c r="L553">
        <v>0</v>
      </c>
      <c r="M553">
        <v>0</v>
      </c>
      <c r="N553" t="s">
        <v>77</v>
      </c>
      <c r="O553">
        <v>0</v>
      </c>
      <c r="P553" t="s">
        <v>77</v>
      </c>
      <c r="Q553" s="1">
        <v>0</v>
      </c>
    </row>
    <row r="554" spans="1:17">
      <c r="A554" t="s">
        <v>63</v>
      </c>
      <c r="B554" t="s">
        <v>53</v>
      </c>
      <c r="C554" t="s">
        <v>292</v>
      </c>
      <c r="D554" t="s">
        <v>75</v>
      </c>
      <c r="E554" t="s">
        <v>54</v>
      </c>
      <c r="F554" t="s">
        <v>55</v>
      </c>
      <c r="G554" t="s">
        <v>130</v>
      </c>
      <c r="H554">
        <v>0</v>
      </c>
      <c r="I554" t="s">
        <v>21</v>
      </c>
      <c r="J554">
        <v>0</v>
      </c>
      <c r="K554">
        <v>0</v>
      </c>
      <c r="L554">
        <v>0</v>
      </c>
      <c r="M554">
        <v>0</v>
      </c>
      <c r="N554" t="s">
        <v>77</v>
      </c>
      <c r="O554">
        <v>0</v>
      </c>
      <c r="P554" t="s">
        <v>77</v>
      </c>
      <c r="Q554" s="1">
        <v>0</v>
      </c>
    </row>
    <row r="555" spans="1:17">
      <c r="A555" t="s">
        <v>63</v>
      </c>
      <c r="B555" t="s">
        <v>53</v>
      </c>
      <c r="C555" t="s">
        <v>314</v>
      </c>
      <c r="D555" t="s">
        <v>75</v>
      </c>
      <c r="E555" t="s">
        <v>54</v>
      </c>
      <c r="F555" t="s">
        <v>55</v>
      </c>
      <c r="G555" t="s">
        <v>130</v>
      </c>
      <c r="H555">
        <v>0</v>
      </c>
      <c r="I555" t="s">
        <v>21</v>
      </c>
      <c r="J555">
        <v>0</v>
      </c>
      <c r="K555">
        <v>0</v>
      </c>
      <c r="L555">
        <v>0</v>
      </c>
      <c r="M555">
        <v>0</v>
      </c>
      <c r="N555" t="s">
        <v>77</v>
      </c>
      <c r="O555">
        <v>0</v>
      </c>
      <c r="P555" t="s">
        <v>77</v>
      </c>
      <c r="Q555" s="1">
        <v>0</v>
      </c>
    </row>
    <row r="556" spans="1:17">
      <c r="A556" t="s">
        <v>63</v>
      </c>
      <c r="B556" t="s">
        <v>53</v>
      </c>
      <c r="C556" t="s">
        <v>265</v>
      </c>
      <c r="D556" t="s">
        <v>75</v>
      </c>
      <c r="E556" t="s">
        <v>54</v>
      </c>
      <c r="F556" t="s">
        <v>55</v>
      </c>
      <c r="G556" t="s">
        <v>130</v>
      </c>
      <c r="H556">
        <v>0</v>
      </c>
      <c r="I556" t="s">
        <v>21</v>
      </c>
      <c r="J556">
        <v>0</v>
      </c>
      <c r="K556">
        <v>0</v>
      </c>
      <c r="L556">
        <v>0</v>
      </c>
      <c r="M556">
        <v>0</v>
      </c>
      <c r="N556" t="s">
        <v>77</v>
      </c>
      <c r="O556">
        <v>0</v>
      </c>
      <c r="P556" t="s">
        <v>77</v>
      </c>
      <c r="Q556" s="1">
        <v>0</v>
      </c>
    </row>
    <row r="557" spans="1:17">
      <c r="A557" t="s">
        <v>63</v>
      </c>
      <c r="B557" t="s">
        <v>53</v>
      </c>
      <c r="C557" t="s">
        <v>178</v>
      </c>
      <c r="D557" t="s">
        <v>75</v>
      </c>
      <c r="E557" t="s">
        <v>54</v>
      </c>
      <c r="F557" t="s">
        <v>55</v>
      </c>
      <c r="G557" t="s">
        <v>130</v>
      </c>
      <c r="H557">
        <v>0</v>
      </c>
      <c r="I557" t="s">
        <v>21</v>
      </c>
      <c r="J557">
        <v>0</v>
      </c>
      <c r="K557">
        <v>0</v>
      </c>
      <c r="L557">
        <v>0</v>
      </c>
      <c r="M557">
        <v>0</v>
      </c>
      <c r="N557" t="s">
        <v>77</v>
      </c>
      <c r="O557">
        <v>0</v>
      </c>
      <c r="P557" t="s">
        <v>77</v>
      </c>
      <c r="Q557" s="1">
        <v>0</v>
      </c>
    </row>
    <row r="558" spans="1:17">
      <c r="A558" t="s">
        <v>63</v>
      </c>
      <c r="B558" t="s">
        <v>18</v>
      </c>
      <c r="C558" t="s">
        <v>241</v>
      </c>
      <c r="D558" t="s">
        <v>75</v>
      </c>
      <c r="E558" t="s">
        <v>54</v>
      </c>
      <c r="F558" t="s">
        <v>18</v>
      </c>
      <c r="G558" t="s">
        <v>153</v>
      </c>
      <c r="H558">
        <v>0</v>
      </c>
      <c r="I558" t="s">
        <v>21</v>
      </c>
      <c r="J558">
        <v>0</v>
      </c>
      <c r="K558">
        <v>0</v>
      </c>
      <c r="L558">
        <v>0</v>
      </c>
      <c r="M558">
        <v>0</v>
      </c>
      <c r="N558" t="s">
        <v>77</v>
      </c>
      <c r="O558">
        <v>0</v>
      </c>
      <c r="P558" t="s">
        <v>77</v>
      </c>
      <c r="Q558" s="1">
        <v>0</v>
      </c>
    </row>
    <row r="559" spans="1:17">
      <c r="A559" t="s">
        <v>63</v>
      </c>
      <c r="B559" t="s">
        <v>53</v>
      </c>
      <c r="C559" t="s">
        <v>197</v>
      </c>
      <c r="D559" t="s">
        <v>75</v>
      </c>
      <c r="E559" t="s">
        <v>54</v>
      </c>
      <c r="F559" t="s">
        <v>55</v>
      </c>
      <c r="G559" t="s">
        <v>130</v>
      </c>
      <c r="H559">
        <v>0</v>
      </c>
      <c r="I559" t="s">
        <v>21</v>
      </c>
      <c r="J559">
        <v>0</v>
      </c>
      <c r="K559">
        <v>0</v>
      </c>
      <c r="L559">
        <v>0</v>
      </c>
      <c r="M559">
        <v>0</v>
      </c>
      <c r="N559" t="s">
        <v>77</v>
      </c>
      <c r="O559">
        <v>0</v>
      </c>
      <c r="P559" t="s">
        <v>77</v>
      </c>
      <c r="Q559" s="1">
        <v>0</v>
      </c>
    </row>
    <row r="560" spans="1:17">
      <c r="A560" t="s">
        <v>63</v>
      </c>
      <c r="B560" t="s">
        <v>53</v>
      </c>
      <c r="C560" t="s">
        <v>262</v>
      </c>
      <c r="D560" t="s">
        <v>75</v>
      </c>
      <c r="E560" t="s">
        <v>54</v>
      </c>
      <c r="F560" t="s">
        <v>55</v>
      </c>
      <c r="G560" t="s">
        <v>130</v>
      </c>
      <c r="H560">
        <v>0</v>
      </c>
      <c r="I560" t="s">
        <v>21</v>
      </c>
      <c r="J560">
        <v>0</v>
      </c>
      <c r="K560">
        <v>0</v>
      </c>
      <c r="L560">
        <v>0</v>
      </c>
      <c r="M560">
        <v>0</v>
      </c>
      <c r="N560" t="s">
        <v>77</v>
      </c>
      <c r="O560">
        <v>0</v>
      </c>
      <c r="P560" t="s">
        <v>77</v>
      </c>
      <c r="Q560" s="1">
        <v>0</v>
      </c>
    </row>
    <row r="561" spans="1:17">
      <c r="A561" t="s">
        <v>63</v>
      </c>
      <c r="B561" t="s">
        <v>53</v>
      </c>
      <c r="C561" t="s">
        <v>257</v>
      </c>
      <c r="D561" t="s">
        <v>75</v>
      </c>
      <c r="E561" t="s">
        <v>54</v>
      </c>
      <c r="F561" t="s">
        <v>55</v>
      </c>
      <c r="G561" t="s">
        <v>130</v>
      </c>
      <c r="H561">
        <v>0</v>
      </c>
      <c r="I561" t="s">
        <v>21</v>
      </c>
      <c r="J561">
        <v>0</v>
      </c>
      <c r="K561">
        <v>0</v>
      </c>
      <c r="L561">
        <v>0</v>
      </c>
      <c r="M561">
        <v>4</v>
      </c>
      <c r="N561" s="1">
        <v>0</v>
      </c>
      <c r="O561">
        <v>0</v>
      </c>
      <c r="P561" t="s">
        <v>77</v>
      </c>
      <c r="Q561" s="1">
        <v>0</v>
      </c>
    </row>
    <row r="562" spans="1:17">
      <c r="A562" t="s">
        <v>63</v>
      </c>
      <c r="B562" t="s">
        <v>53</v>
      </c>
      <c r="C562" t="s">
        <v>367</v>
      </c>
      <c r="D562" t="s">
        <v>75</v>
      </c>
      <c r="E562" t="s">
        <v>54</v>
      </c>
      <c r="F562" t="s">
        <v>55</v>
      </c>
      <c r="G562" t="s">
        <v>130</v>
      </c>
      <c r="H562">
        <v>0</v>
      </c>
      <c r="I562" t="s">
        <v>21</v>
      </c>
      <c r="J562">
        <v>0</v>
      </c>
      <c r="K562">
        <v>0</v>
      </c>
      <c r="L562">
        <v>0</v>
      </c>
      <c r="M562">
        <v>1</v>
      </c>
      <c r="N562" s="1">
        <v>0</v>
      </c>
      <c r="O562">
        <v>0</v>
      </c>
      <c r="P562" t="s">
        <v>77</v>
      </c>
      <c r="Q562" s="1">
        <v>0</v>
      </c>
    </row>
    <row r="563" spans="1:17">
      <c r="A563" t="s">
        <v>63</v>
      </c>
      <c r="B563" t="s">
        <v>53</v>
      </c>
      <c r="C563" t="s">
        <v>277</v>
      </c>
      <c r="D563" t="s">
        <v>75</v>
      </c>
      <c r="E563" t="s">
        <v>54</v>
      </c>
      <c r="F563" t="s">
        <v>55</v>
      </c>
      <c r="G563" t="s">
        <v>130</v>
      </c>
      <c r="H563">
        <v>0</v>
      </c>
      <c r="I563" t="s">
        <v>21</v>
      </c>
      <c r="J563">
        <v>0</v>
      </c>
      <c r="K563">
        <v>0</v>
      </c>
      <c r="L563">
        <v>0</v>
      </c>
      <c r="M563">
        <v>0</v>
      </c>
      <c r="N563" t="s">
        <v>77</v>
      </c>
      <c r="O563">
        <v>0</v>
      </c>
      <c r="P563" t="s">
        <v>77</v>
      </c>
      <c r="Q563" s="1">
        <v>0</v>
      </c>
    </row>
    <row r="564" spans="1:17">
      <c r="A564" t="s">
        <v>63</v>
      </c>
      <c r="B564" t="s">
        <v>53</v>
      </c>
      <c r="C564" t="s">
        <v>250</v>
      </c>
      <c r="D564" t="s">
        <v>79</v>
      </c>
      <c r="E564" t="s">
        <v>54</v>
      </c>
      <c r="F564" t="s">
        <v>55</v>
      </c>
      <c r="G564" t="s">
        <v>130</v>
      </c>
      <c r="H564">
        <v>0</v>
      </c>
      <c r="I564" t="s">
        <v>21</v>
      </c>
      <c r="J564">
        <v>0</v>
      </c>
      <c r="K564">
        <v>0</v>
      </c>
      <c r="L564">
        <v>0</v>
      </c>
      <c r="M564">
        <v>0</v>
      </c>
      <c r="N564" t="s">
        <v>77</v>
      </c>
      <c r="O564">
        <v>0</v>
      </c>
      <c r="P564" t="s">
        <v>77</v>
      </c>
      <c r="Q564" s="1">
        <v>0</v>
      </c>
    </row>
    <row r="565" spans="1:17">
      <c r="A565" t="s">
        <v>63</v>
      </c>
      <c r="B565" t="s">
        <v>53</v>
      </c>
      <c r="C565" t="s">
        <v>160</v>
      </c>
      <c r="D565" t="s">
        <v>79</v>
      </c>
      <c r="E565" t="s">
        <v>54</v>
      </c>
      <c r="F565" t="s">
        <v>55</v>
      </c>
      <c r="G565" t="s">
        <v>130</v>
      </c>
      <c r="H565">
        <v>0</v>
      </c>
      <c r="I565" t="s">
        <v>21</v>
      </c>
      <c r="J565">
        <v>0</v>
      </c>
      <c r="K565">
        <v>0</v>
      </c>
      <c r="L565">
        <v>0</v>
      </c>
      <c r="M565">
        <v>0</v>
      </c>
      <c r="N565" t="s">
        <v>77</v>
      </c>
      <c r="O565">
        <v>0</v>
      </c>
      <c r="P565" t="s">
        <v>77</v>
      </c>
      <c r="Q565" s="1">
        <v>0</v>
      </c>
    </row>
    <row r="566" spans="1:17">
      <c r="A566" t="s">
        <v>63</v>
      </c>
      <c r="B566" t="s">
        <v>53</v>
      </c>
      <c r="C566" t="s">
        <v>332</v>
      </c>
      <c r="D566" t="s">
        <v>75</v>
      </c>
      <c r="E566" t="s">
        <v>54</v>
      </c>
      <c r="F566" t="s">
        <v>55</v>
      </c>
      <c r="G566" t="s">
        <v>130</v>
      </c>
      <c r="H566">
        <v>0</v>
      </c>
      <c r="I566" t="s">
        <v>21</v>
      </c>
      <c r="J566">
        <v>0</v>
      </c>
      <c r="K566">
        <v>0</v>
      </c>
      <c r="L566">
        <v>0</v>
      </c>
      <c r="M566">
        <v>0</v>
      </c>
      <c r="N566" t="s">
        <v>77</v>
      </c>
      <c r="O566">
        <v>0</v>
      </c>
      <c r="P566" t="s">
        <v>77</v>
      </c>
      <c r="Q566" s="1">
        <v>0</v>
      </c>
    </row>
    <row r="567" spans="1:17">
      <c r="A567" t="s">
        <v>63</v>
      </c>
      <c r="B567" t="s">
        <v>53</v>
      </c>
      <c r="C567" t="s">
        <v>240</v>
      </c>
      <c r="D567" t="s">
        <v>75</v>
      </c>
      <c r="E567" t="s">
        <v>54</v>
      </c>
      <c r="F567" t="s">
        <v>55</v>
      </c>
      <c r="G567" t="s">
        <v>130</v>
      </c>
      <c r="H567">
        <v>0</v>
      </c>
      <c r="I567" t="s">
        <v>21</v>
      </c>
      <c r="J567">
        <v>0</v>
      </c>
      <c r="K567">
        <v>0</v>
      </c>
      <c r="L567">
        <v>0</v>
      </c>
      <c r="M567">
        <v>0</v>
      </c>
      <c r="N567" t="s">
        <v>77</v>
      </c>
      <c r="O567">
        <v>0</v>
      </c>
      <c r="P567" t="s">
        <v>77</v>
      </c>
      <c r="Q567" s="1">
        <v>0</v>
      </c>
    </row>
    <row r="568" spans="1:17">
      <c r="A568" t="s">
        <v>63</v>
      </c>
      <c r="B568" t="s">
        <v>53</v>
      </c>
      <c r="C568" t="s">
        <v>151</v>
      </c>
      <c r="D568" t="s">
        <v>75</v>
      </c>
      <c r="E568" t="s">
        <v>54</v>
      </c>
      <c r="F568" t="s">
        <v>55</v>
      </c>
      <c r="G568" t="s">
        <v>130</v>
      </c>
      <c r="H568">
        <v>0</v>
      </c>
      <c r="I568" t="s">
        <v>21</v>
      </c>
      <c r="J568">
        <v>0</v>
      </c>
      <c r="K568">
        <v>0</v>
      </c>
      <c r="L568">
        <v>0</v>
      </c>
      <c r="M568">
        <v>0</v>
      </c>
      <c r="N568" t="s">
        <v>77</v>
      </c>
      <c r="O568">
        <v>0</v>
      </c>
      <c r="P568" t="s">
        <v>77</v>
      </c>
      <c r="Q568" s="1">
        <v>0</v>
      </c>
    </row>
    <row r="569" spans="1:17">
      <c r="A569" t="s">
        <v>63</v>
      </c>
      <c r="B569" t="s">
        <v>53</v>
      </c>
      <c r="C569" t="s">
        <v>337</v>
      </c>
      <c r="D569" t="s">
        <v>82</v>
      </c>
      <c r="E569" t="s">
        <v>51</v>
      </c>
      <c r="F569" t="s">
        <v>55</v>
      </c>
      <c r="G569" t="s">
        <v>80</v>
      </c>
      <c r="H569">
        <v>0</v>
      </c>
      <c r="I569" t="s">
        <v>21</v>
      </c>
      <c r="J569">
        <v>0</v>
      </c>
      <c r="K569">
        <v>0</v>
      </c>
      <c r="L569">
        <v>0</v>
      </c>
      <c r="M569">
        <v>0</v>
      </c>
      <c r="N569" t="s">
        <v>77</v>
      </c>
      <c r="O569">
        <v>0</v>
      </c>
      <c r="P569" t="s">
        <v>77</v>
      </c>
      <c r="Q569" s="1">
        <v>0</v>
      </c>
    </row>
    <row r="570" spans="1:17">
      <c r="A570" t="s">
        <v>63</v>
      </c>
      <c r="B570" t="s">
        <v>53</v>
      </c>
      <c r="C570" t="s">
        <v>340</v>
      </c>
      <c r="D570" t="s">
        <v>79</v>
      </c>
      <c r="E570" t="s">
        <v>51</v>
      </c>
      <c r="F570" t="s">
        <v>55</v>
      </c>
      <c r="G570" t="s">
        <v>80</v>
      </c>
      <c r="H570">
        <v>0</v>
      </c>
      <c r="I570" t="s">
        <v>21</v>
      </c>
      <c r="J570">
        <v>0</v>
      </c>
      <c r="K570">
        <v>0</v>
      </c>
      <c r="L570">
        <v>0</v>
      </c>
      <c r="M570">
        <v>0</v>
      </c>
      <c r="N570" t="s">
        <v>77</v>
      </c>
      <c r="O570">
        <v>0</v>
      </c>
      <c r="P570" t="s">
        <v>77</v>
      </c>
      <c r="Q570" s="1">
        <v>0</v>
      </c>
    </row>
    <row r="571" spans="1:17">
      <c r="A571" t="s">
        <v>63</v>
      </c>
      <c r="B571" t="s">
        <v>53</v>
      </c>
      <c r="C571" t="s">
        <v>336</v>
      </c>
      <c r="D571" t="s">
        <v>82</v>
      </c>
      <c r="E571" t="s">
        <v>51</v>
      </c>
      <c r="F571" t="s">
        <v>55</v>
      </c>
      <c r="G571" t="s">
        <v>80</v>
      </c>
      <c r="H571">
        <v>0</v>
      </c>
      <c r="I571" t="s">
        <v>21</v>
      </c>
      <c r="J571">
        <v>0</v>
      </c>
      <c r="K571">
        <v>0</v>
      </c>
      <c r="L571">
        <v>0</v>
      </c>
      <c r="M571">
        <v>0</v>
      </c>
      <c r="N571" t="s">
        <v>77</v>
      </c>
      <c r="O571">
        <v>0</v>
      </c>
      <c r="P571" t="s">
        <v>77</v>
      </c>
      <c r="Q571" s="1">
        <v>0</v>
      </c>
    </row>
    <row r="572" spans="1:17">
      <c r="A572" t="s">
        <v>63</v>
      </c>
      <c r="B572" t="s">
        <v>18</v>
      </c>
      <c r="C572" t="s">
        <v>341</v>
      </c>
      <c r="D572" t="s">
        <v>75</v>
      </c>
      <c r="E572" t="s">
        <v>51</v>
      </c>
      <c r="F572" t="s">
        <v>18</v>
      </c>
      <c r="G572" t="s">
        <v>95</v>
      </c>
      <c r="H572">
        <v>0</v>
      </c>
      <c r="I572" t="s">
        <v>21</v>
      </c>
      <c r="J572">
        <v>0</v>
      </c>
      <c r="K572">
        <v>0</v>
      </c>
      <c r="L572">
        <v>0</v>
      </c>
      <c r="M572">
        <v>0</v>
      </c>
      <c r="N572" t="s">
        <v>77</v>
      </c>
      <c r="O572">
        <v>0</v>
      </c>
      <c r="P572" t="s">
        <v>77</v>
      </c>
      <c r="Q572" s="1">
        <v>0</v>
      </c>
    </row>
    <row r="573" spans="1:17">
      <c r="A573" t="s">
        <v>63</v>
      </c>
      <c r="B573" t="s">
        <v>53</v>
      </c>
      <c r="C573" t="s">
        <v>339</v>
      </c>
      <c r="D573" t="s">
        <v>79</v>
      </c>
      <c r="E573" t="s">
        <v>51</v>
      </c>
      <c r="F573" t="s">
        <v>55</v>
      </c>
      <c r="G573" t="s">
        <v>80</v>
      </c>
      <c r="H573">
        <v>0</v>
      </c>
      <c r="I573" t="s">
        <v>21</v>
      </c>
      <c r="J573">
        <v>0</v>
      </c>
      <c r="K573">
        <v>0</v>
      </c>
      <c r="L573">
        <v>0</v>
      </c>
      <c r="M573">
        <v>0</v>
      </c>
      <c r="N573" t="s">
        <v>77</v>
      </c>
      <c r="O573">
        <v>0</v>
      </c>
      <c r="P573" t="s">
        <v>77</v>
      </c>
      <c r="Q573" s="1">
        <v>0</v>
      </c>
    </row>
    <row r="574" spans="1:17">
      <c r="A574" t="s">
        <v>63</v>
      </c>
      <c r="B574" t="s">
        <v>53</v>
      </c>
      <c r="C574" t="s">
        <v>338</v>
      </c>
      <c r="D574" t="s">
        <v>79</v>
      </c>
      <c r="E574" t="s">
        <v>51</v>
      </c>
      <c r="F574" t="s">
        <v>55</v>
      </c>
      <c r="G574" t="s">
        <v>80</v>
      </c>
      <c r="H574">
        <v>0</v>
      </c>
      <c r="I574" t="s">
        <v>21</v>
      </c>
      <c r="J574">
        <v>0</v>
      </c>
      <c r="K574">
        <v>0</v>
      </c>
      <c r="L574">
        <v>0</v>
      </c>
      <c r="M574">
        <v>0</v>
      </c>
      <c r="N574" t="s">
        <v>77</v>
      </c>
      <c r="O574">
        <v>0</v>
      </c>
      <c r="P574" t="s">
        <v>77</v>
      </c>
      <c r="Q574" s="1">
        <v>0</v>
      </c>
    </row>
    <row r="575" spans="1:17">
      <c r="A575" t="s">
        <v>63</v>
      </c>
      <c r="B575" t="s">
        <v>53</v>
      </c>
      <c r="C575" t="s">
        <v>200</v>
      </c>
      <c r="D575" t="s">
        <v>75</v>
      </c>
      <c r="E575" t="s">
        <v>51</v>
      </c>
      <c r="F575" t="s">
        <v>55</v>
      </c>
      <c r="G575" t="s">
        <v>80</v>
      </c>
      <c r="H575">
        <v>0</v>
      </c>
      <c r="I575" t="s">
        <v>21</v>
      </c>
      <c r="J575">
        <v>0</v>
      </c>
      <c r="K575">
        <v>0</v>
      </c>
      <c r="L575">
        <v>0</v>
      </c>
      <c r="M575">
        <v>0</v>
      </c>
      <c r="N575" t="s">
        <v>77</v>
      </c>
      <c r="O575">
        <v>0</v>
      </c>
      <c r="P575" t="s">
        <v>77</v>
      </c>
      <c r="Q575" s="1">
        <v>0</v>
      </c>
    </row>
    <row r="576" spans="1:17">
      <c r="A576" t="s">
        <v>63</v>
      </c>
      <c r="B576" t="s">
        <v>53</v>
      </c>
      <c r="C576" t="s">
        <v>320</v>
      </c>
      <c r="D576" t="s">
        <v>75</v>
      </c>
      <c r="E576" t="s">
        <v>51</v>
      </c>
      <c r="F576" t="s">
        <v>55</v>
      </c>
      <c r="G576" t="s">
        <v>80</v>
      </c>
      <c r="H576">
        <v>0</v>
      </c>
      <c r="I576" t="s">
        <v>21</v>
      </c>
      <c r="J576">
        <v>0</v>
      </c>
      <c r="K576">
        <v>0</v>
      </c>
      <c r="L576">
        <v>0</v>
      </c>
      <c r="M576">
        <v>0</v>
      </c>
      <c r="N576" t="s">
        <v>77</v>
      </c>
      <c r="O576">
        <v>0</v>
      </c>
      <c r="P576" t="s">
        <v>77</v>
      </c>
      <c r="Q576" s="1">
        <v>0</v>
      </c>
    </row>
    <row r="577" spans="1:17">
      <c r="A577" t="s">
        <v>63</v>
      </c>
      <c r="B577" t="s">
        <v>53</v>
      </c>
      <c r="C577" t="s">
        <v>342</v>
      </c>
      <c r="D577" t="s">
        <v>82</v>
      </c>
      <c r="E577" t="s">
        <v>51</v>
      </c>
      <c r="F577" t="s">
        <v>55</v>
      </c>
      <c r="G577" t="s">
        <v>80</v>
      </c>
      <c r="H577">
        <v>0</v>
      </c>
      <c r="I577" t="s">
        <v>21</v>
      </c>
      <c r="J577">
        <v>0</v>
      </c>
      <c r="K577">
        <v>0</v>
      </c>
      <c r="L577">
        <v>0</v>
      </c>
      <c r="M577">
        <v>0</v>
      </c>
      <c r="N577" t="s">
        <v>77</v>
      </c>
      <c r="O577">
        <v>0</v>
      </c>
      <c r="P577" t="s">
        <v>77</v>
      </c>
      <c r="Q577" s="1">
        <v>0</v>
      </c>
    </row>
    <row r="578" spans="1:17">
      <c r="A578" t="s">
        <v>24</v>
      </c>
      <c r="B578" t="s">
        <v>53</v>
      </c>
      <c r="C578" t="s">
        <v>369</v>
      </c>
      <c r="D578" t="s">
        <v>79</v>
      </c>
      <c r="E578" t="s">
        <v>62</v>
      </c>
      <c r="F578" t="s">
        <v>55</v>
      </c>
      <c r="G578" t="s">
        <v>370</v>
      </c>
      <c r="H578">
        <v>0</v>
      </c>
      <c r="I578" t="s">
        <v>21</v>
      </c>
      <c r="J578">
        <v>0</v>
      </c>
      <c r="K578">
        <v>0</v>
      </c>
      <c r="L578">
        <v>0</v>
      </c>
      <c r="M578">
        <v>0</v>
      </c>
      <c r="N578" t="s">
        <v>77</v>
      </c>
      <c r="O578">
        <v>0</v>
      </c>
      <c r="P578" t="s">
        <v>77</v>
      </c>
      <c r="Q578" s="1">
        <v>0</v>
      </c>
    </row>
    <row r="579" spans="1:17">
      <c r="A579" t="s">
        <v>24</v>
      </c>
      <c r="B579" t="s">
        <v>53</v>
      </c>
      <c r="C579" t="s">
        <v>371</v>
      </c>
      <c r="D579" t="s">
        <v>75</v>
      </c>
      <c r="E579" t="s">
        <v>62</v>
      </c>
      <c r="F579" t="s">
        <v>55</v>
      </c>
      <c r="G579" t="s">
        <v>130</v>
      </c>
      <c r="H579">
        <v>0</v>
      </c>
      <c r="I579" t="s">
        <v>21</v>
      </c>
      <c r="J579">
        <v>0</v>
      </c>
      <c r="K579">
        <v>0</v>
      </c>
      <c r="L579">
        <v>0</v>
      </c>
      <c r="M579">
        <v>2</v>
      </c>
      <c r="N579" s="1">
        <v>0</v>
      </c>
      <c r="O579">
        <v>0</v>
      </c>
      <c r="P579" t="s">
        <v>77</v>
      </c>
      <c r="Q579" s="1">
        <v>0</v>
      </c>
    </row>
    <row r="580" spans="1:17">
      <c r="A580" t="s">
        <v>24</v>
      </c>
      <c r="B580" t="s">
        <v>53</v>
      </c>
      <c r="C580" t="s">
        <v>372</v>
      </c>
      <c r="D580" t="s">
        <v>75</v>
      </c>
      <c r="E580" t="s">
        <v>62</v>
      </c>
      <c r="F580" t="s">
        <v>55</v>
      </c>
      <c r="G580" t="s">
        <v>370</v>
      </c>
      <c r="H580">
        <v>0</v>
      </c>
      <c r="I580" t="s">
        <v>21</v>
      </c>
      <c r="J580">
        <v>0</v>
      </c>
      <c r="K580">
        <v>0</v>
      </c>
      <c r="L580">
        <v>0</v>
      </c>
      <c r="M580">
        <v>0</v>
      </c>
      <c r="N580" t="s">
        <v>77</v>
      </c>
      <c r="O580">
        <v>0</v>
      </c>
      <c r="P580" t="s">
        <v>77</v>
      </c>
      <c r="Q580" s="1">
        <v>0</v>
      </c>
    </row>
    <row r="581" spans="1:17">
      <c r="A581" t="s">
        <v>24</v>
      </c>
      <c r="B581" t="s">
        <v>53</v>
      </c>
      <c r="C581" t="s">
        <v>373</v>
      </c>
      <c r="D581" t="s">
        <v>82</v>
      </c>
      <c r="E581" t="s">
        <v>62</v>
      </c>
      <c r="F581" t="s">
        <v>55</v>
      </c>
      <c r="G581" t="s">
        <v>130</v>
      </c>
      <c r="H581">
        <v>0</v>
      </c>
      <c r="I581" t="s">
        <v>21</v>
      </c>
      <c r="J581">
        <v>0</v>
      </c>
      <c r="K581">
        <v>0</v>
      </c>
      <c r="L581">
        <v>0</v>
      </c>
      <c r="M581">
        <v>0</v>
      </c>
      <c r="N581" t="s">
        <v>77</v>
      </c>
      <c r="O581">
        <v>0</v>
      </c>
      <c r="P581" t="s">
        <v>77</v>
      </c>
      <c r="Q581" s="1">
        <v>0</v>
      </c>
    </row>
    <row r="582" spans="1:17">
      <c r="A582" t="s">
        <v>24</v>
      </c>
      <c r="B582" t="s">
        <v>53</v>
      </c>
      <c r="C582" t="s">
        <v>374</v>
      </c>
      <c r="D582" t="s">
        <v>75</v>
      </c>
      <c r="E582" t="s">
        <v>62</v>
      </c>
      <c r="F582" t="s">
        <v>55</v>
      </c>
      <c r="G582" t="s">
        <v>130</v>
      </c>
      <c r="H582">
        <v>0</v>
      </c>
      <c r="I582" t="s">
        <v>21</v>
      </c>
      <c r="J582">
        <v>0</v>
      </c>
      <c r="K582">
        <v>0</v>
      </c>
      <c r="L582">
        <v>0</v>
      </c>
      <c r="M582">
        <v>14</v>
      </c>
      <c r="N582" s="1">
        <v>0</v>
      </c>
      <c r="O582">
        <v>0</v>
      </c>
      <c r="P582" t="s">
        <v>77</v>
      </c>
      <c r="Q582" s="1">
        <v>0</v>
      </c>
    </row>
    <row r="583" spans="1:17">
      <c r="A583" t="s">
        <v>24</v>
      </c>
      <c r="B583" t="s">
        <v>53</v>
      </c>
      <c r="C583" t="s">
        <v>375</v>
      </c>
      <c r="D583" t="s">
        <v>79</v>
      </c>
      <c r="E583" t="s">
        <v>62</v>
      </c>
      <c r="F583" t="s">
        <v>55</v>
      </c>
      <c r="G583" t="s">
        <v>130</v>
      </c>
      <c r="H583">
        <v>0</v>
      </c>
      <c r="I583" t="s">
        <v>21</v>
      </c>
      <c r="J583">
        <v>0</v>
      </c>
      <c r="K583">
        <v>0</v>
      </c>
      <c r="L583">
        <v>0</v>
      </c>
      <c r="M583">
        <v>12</v>
      </c>
      <c r="N583" s="1">
        <v>0</v>
      </c>
      <c r="O583">
        <v>0</v>
      </c>
      <c r="P583">
        <v>7</v>
      </c>
      <c r="Q583" s="1">
        <v>0</v>
      </c>
    </row>
    <row r="584" spans="1:17">
      <c r="A584" t="s">
        <v>24</v>
      </c>
      <c r="B584" t="s">
        <v>53</v>
      </c>
      <c r="C584" t="s">
        <v>376</v>
      </c>
      <c r="D584" t="s">
        <v>82</v>
      </c>
      <c r="E584" t="s">
        <v>62</v>
      </c>
      <c r="F584" t="s">
        <v>55</v>
      </c>
      <c r="G584" t="s">
        <v>370</v>
      </c>
      <c r="H584">
        <v>0</v>
      </c>
      <c r="I584" t="s">
        <v>21</v>
      </c>
      <c r="J584">
        <v>0</v>
      </c>
      <c r="K584">
        <v>0</v>
      </c>
      <c r="L584">
        <v>0</v>
      </c>
      <c r="M584">
        <v>0</v>
      </c>
      <c r="N584" t="s">
        <v>77</v>
      </c>
      <c r="O584">
        <v>0</v>
      </c>
      <c r="P584" t="s">
        <v>77</v>
      </c>
      <c r="Q584" s="1">
        <v>0</v>
      </c>
    </row>
    <row r="585" spans="1:17">
      <c r="A585" t="s">
        <v>24</v>
      </c>
      <c r="B585" t="s">
        <v>53</v>
      </c>
      <c r="C585" t="s">
        <v>377</v>
      </c>
      <c r="D585" t="s">
        <v>75</v>
      </c>
      <c r="E585" t="s">
        <v>62</v>
      </c>
      <c r="F585" t="s">
        <v>55</v>
      </c>
      <c r="G585" t="s">
        <v>130</v>
      </c>
      <c r="H585">
        <v>7</v>
      </c>
      <c r="I585" t="s">
        <v>21</v>
      </c>
      <c r="J585">
        <v>19.98</v>
      </c>
      <c r="K585">
        <v>53</v>
      </c>
      <c r="L585">
        <v>139.85</v>
      </c>
      <c r="M585" s="10">
        <v>1730</v>
      </c>
      <c r="N585" s="1">
        <v>3.0599999999999999E-2</v>
      </c>
      <c r="O585">
        <v>2.64</v>
      </c>
      <c r="P585" t="s">
        <v>77</v>
      </c>
      <c r="Q585" s="1">
        <v>0.1321</v>
      </c>
    </row>
    <row r="586" spans="1:17">
      <c r="A586" t="s">
        <v>24</v>
      </c>
      <c r="B586" t="s">
        <v>53</v>
      </c>
      <c r="C586" t="s">
        <v>378</v>
      </c>
      <c r="D586" t="s">
        <v>82</v>
      </c>
      <c r="E586" t="s">
        <v>62</v>
      </c>
      <c r="F586" t="s">
        <v>55</v>
      </c>
      <c r="G586" t="s">
        <v>130</v>
      </c>
      <c r="H586">
        <v>0</v>
      </c>
      <c r="I586" t="s">
        <v>21</v>
      </c>
      <c r="J586">
        <v>0</v>
      </c>
      <c r="K586">
        <v>0</v>
      </c>
      <c r="L586">
        <v>0</v>
      </c>
      <c r="M586">
        <v>2</v>
      </c>
      <c r="N586" s="1">
        <v>0</v>
      </c>
      <c r="O586">
        <v>0</v>
      </c>
      <c r="P586">
        <v>3</v>
      </c>
      <c r="Q586" s="1">
        <v>0</v>
      </c>
    </row>
    <row r="587" spans="1:17">
      <c r="A587" t="s">
        <v>24</v>
      </c>
      <c r="B587" t="s">
        <v>53</v>
      </c>
      <c r="C587" t="s">
        <v>379</v>
      </c>
      <c r="D587" t="s">
        <v>79</v>
      </c>
      <c r="E587" t="s">
        <v>62</v>
      </c>
      <c r="F587" t="s">
        <v>55</v>
      </c>
      <c r="G587" t="s">
        <v>370</v>
      </c>
      <c r="H587">
        <v>0</v>
      </c>
      <c r="I587" t="s">
        <v>21</v>
      </c>
      <c r="J587">
        <v>0</v>
      </c>
      <c r="K587">
        <v>0</v>
      </c>
      <c r="L587">
        <v>0</v>
      </c>
      <c r="M587">
        <v>0</v>
      </c>
      <c r="N587" t="s">
        <v>77</v>
      </c>
      <c r="O587">
        <v>0</v>
      </c>
      <c r="P587" t="s">
        <v>77</v>
      </c>
      <c r="Q587" s="1">
        <v>0</v>
      </c>
    </row>
    <row r="588" spans="1:17">
      <c r="A588" t="s">
        <v>24</v>
      </c>
      <c r="B588" t="s">
        <v>53</v>
      </c>
      <c r="C588" t="s">
        <v>380</v>
      </c>
      <c r="D588" t="s">
        <v>75</v>
      </c>
      <c r="E588" t="s">
        <v>62</v>
      </c>
      <c r="F588" t="s">
        <v>55</v>
      </c>
      <c r="G588" t="s">
        <v>370</v>
      </c>
      <c r="H588">
        <v>0</v>
      </c>
      <c r="I588" t="s">
        <v>21</v>
      </c>
      <c r="J588">
        <v>0</v>
      </c>
      <c r="K588">
        <v>0</v>
      </c>
      <c r="L588">
        <v>0</v>
      </c>
      <c r="M588">
        <v>0</v>
      </c>
      <c r="N588" t="s">
        <v>77</v>
      </c>
      <c r="O588">
        <v>0</v>
      </c>
      <c r="P588" t="s">
        <v>77</v>
      </c>
      <c r="Q588" s="1">
        <v>0</v>
      </c>
    </row>
    <row r="589" spans="1:17">
      <c r="A589" t="s">
        <v>24</v>
      </c>
      <c r="B589" t="s">
        <v>53</v>
      </c>
      <c r="C589" t="s">
        <v>381</v>
      </c>
      <c r="D589" t="s">
        <v>79</v>
      </c>
      <c r="E589" t="s">
        <v>62</v>
      </c>
      <c r="F589" t="s">
        <v>55</v>
      </c>
      <c r="G589" t="s">
        <v>130</v>
      </c>
      <c r="H589">
        <v>0</v>
      </c>
      <c r="I589" t="s">
        <v>21</v>
      </c>
      <c r="J589">
        <v>0</v>
      </c>
      <c r="K589">
        <v>0</v>
      </c>
      <c r="L589">
        <v>0</v>
      </c>
      <c r="M589">
        <v>0</v>
      </c>
      <c r="N589" t="s">
        <v>77</v>
      </c>
      <c r="O589">
        <v>0</v>
      </c>
      <c r="P589">
        <v>3</v>
      </c>
      <c r="Q589" s="1">
        <v>0</v>
      </c>
    </row>
    <row r="590" spans="1:17">
      <c r="A590" t="s">
        <v>24</v>
      </c>
      <c r="B590" t="s">
        <v>53</v>
      </c>
      <c r="C590" t="s">
        <v>382</v>
      </c>
      <c r="D590" t="s">
        <v>75</v>
      </c>
      <c r="E590" t="s">
        <v>62</v>
      </c>
      <c r="F590" t="s">
        <v>55</v>
      </c>
      <c r="G590" t="s">
        <v>130</v>
      </c>
      <c r="H590">
        <v>0</v>
      </c>
      <c r="I590" t="s">
        <v>21</v>
      </c>
      <c r="J590">
        <v>0</v>
      </c>
      <c r="K590">
        <v>0</v>
      </c>
      <c r="L590">
        <v>0</v>
      </c>
      <c r="M590">
        <v>5</v>
      </c>
      <c r="N590" s="1">
        <v>0</v>
      </c>
      <c r="O590">
        <v>0</v>
      </c>
      <c r="P590" t="s">
        <v>77</v>
      </c>
      <c r="Q590" s="1">
        <v>0</v>
      </c>
    </row>
    <row r="591" spans="1:17">
      <c r="A591" t="s">
        <v>24</v>
      </c>
      <c r="B591" t="s">
        <v>53</v>
      </c>
      <c r="C591" t="s">
        <v>383</v>
      </c>
      <c r="D591" t="s">
        <v>75</v>
      </c>
      <c r="E591" t="s">
        <v>62</v>
      </c>
      <c r="F591" t="s">
        <v>55</v>
      </c>
      <c r="G591" t="s">
        <v>130</v>
      </c>
      <c r="H591">
        <v>0</v>
      </c>
      <c r="I591" t="s">
        <v>21</v>
      </c>
      <c r="J591">
        <v>0</v>
      </c>
      <c r="K591">
        <v>0</v>
      </c>
      <c r="L591">
        <v>0</v>
      </c>
      <c r="M591">
        <v>0</v>
      </c>
      <c r="N591" t="s">
        <v>77</v>
      </c>
      <c r="O591">
        <v>0</v>
      </c>
      <c r="P591" t="s">
        <v>77</v>
      </c>
      <c r="Q591" s="1">
        <v>0</v>
      </c>
    </row>
    <row r="592" spans="1:17">
      <c r="A592" t="s">
        <v>24</v>
      </c>
      <c r="B592" t="s">
        <v>53</v>
      </c>
      <c r="C592" t="s">
        <v>384</v>
      </c>
      <c r="D592" t="s">
        <v>79</v>
      </c>
      <c r="E592" t="s">
        <v>62</v>
      </c>
      <c r="F592" t="s">
        <v>55</v>
      </c>
      <c r="G592" t="s">
        <v>130</v>
      </c>
      <c r="H592">
        <v>0</v>
      </c>
      <c r="I592" t="s">
        <v>21</v>
      </c>
      <c r="J592">
        <v>0</v>
      </c>
      <c r="K592">
        <v>0</v>
      </c>
      <c r="L592">
        <v>0</v>
      </c>
      <c r="M592">
        <v>4</v>
      </c>
      <c r="N592" s="1">
        <v>0</v>
      </c>
      <c r="O592">
        <v>0</v>
      </c>
      <c r="P592" t="s">
        <v>77</v>
      </c>
      <c r="Q592" s="1">
        <v>0</v>
      </c>
    </row>
    <row r="593" spans="1:17">
      <c r="A593" t="s">
        <v>24</v>
      </c>
      <c r="B593" t="s">
        <v>53</v>
      </c>
      <c r="C593" t="s">
        <v>385</v>
      </c>
      <c r="D593" t="s">
        <v>82</v>
      </c>
      <c r="E593" t="s">
        <v>62</v>
      </c>
      <c r="F593" t="s">
        <v>55</v>
      </c>
      <c r="G593" t="s">
        <v>130</v>
      </c>
      <c r="H593">
        <v>0</v>
      </c>
      <c r="I593" t="s">
        <v>21</v>
      </c>
      <c r="J593">
        <v>0</v>
      </c>
      <c r="K593">
        <v>0</v>
      </c>
      <c r="L593">
        <v>0</v>
      </c>
      <c r="M593">
        <v>20</v>
      </c>
      <c r="N593" s="1">
        <v>0</v>
      </c>
      <c r="O593">
        <v>0</v>
      </c>
      <c r="P593">
        <v>7</v>
      </c>
      <c r="Q593" s="1">
        <v>0</v>
      </c>
    </row>
    <row r="594" spans="1:17">
      <c r="A594" t="s">
        <v>24</v>
      </c>
      <c r="B594" t="s">
        <v>53</v>
      </c>
      <c r="C594" t="s">
        <v>386</v>
      </c>
      <c r="D594" t="s">
        <v>75</v>
      </c>
      <c r="E594" t="s">
        <v>62</v>
      </c>
      <c r="F594" t="s">
        <v>55</v>
      </c>
      <c r="G594" t="s">
        <v>370</v>
      </c>
      <c r="H594">
        <v>0</v>
      </c>
      <c r="I594" t="s">
        <v>21</v>
      </c>
      <c r="J594">
        <v>0</v>
      </c>
      <c r="K594">
        <v>0</v>
      </c>
      <c r="L594">
        <v>0</v>
      </c>
      <c r="M594">
        <v>0</v>
      </c>
      <c r="N594" t="s">
        <v>77</v>
      </c>
      <c r="O594">
        <v>0</v>
      </c>
      <c r="P594" t="s">
        <v>77</v>
      </c>
      <c r="Q594" s="1">
        <v>0</v>
      </c>
    </row>
    <row r="595" spans="1:17">
      <c r="A595" t="s">
        <v>24</v>
      </c>
      <c r="B595" t="s">
        <v>53</v>
      </c>
      <c r="C595" t="s">
        <v>387</v>
      </c>
      <c r="D595" t="s">
        <v>82</v>
      </c>
      <c r="E595" t="s">
        <v>62</v>
      </c>
      <c r="F595" t="s">
        <v>55</v>
      </c>
      <c r="G595" t="s">
        <v>130</v>
      </c>
      <c r="H595">
        <v>0</v>
      </c>
      <c r="I595" t="s">
        <v>21</v>
      </c>
      <c r="J595">
        <v>0</v>
      </c>
      <c r="K595">
        <v>0</v>
      </c>
      <c r="L595">
        <v>0</v>
      </c>
      <c r="M595">
        <v>0</v>
      </c>
      <c r="N595" t="s">
        <v>77</v>
      </c>
      <c r="O595">
        <v>0</v>
      </c>
      <c r="P595" t="s">
        <v>77</v>
      </c>
      <c r="Q595" s="1">
        <v>0</v>
      </c>
    </row>
    <row r="596" spans="1:17">
      <c r="A596" t="s">
        <v>24</v>
      </c>
      <c r="B596" t="s">
        <v>53</v>
      </c>
      <c r="C596" t="s">
        <v>388</v>
      </c>
      <c r="D596" t="s">
        <v>75</v>
      </c>
      <c r="E596" t="s">
        <v>62</v>
      </c>
      <c r="F596" t="s">
        <v>55</v>
      </c>
      <c r="G596" t="s">
        <v>130</v>
      </c>
      <c r="H596">
        <v>2</v>
      </c>
      <c r="I596" t="s">
        <v>21</v>
      </c>
      <c r="J596">
        <v>28.64</v>
      </c>
      <c r="K596">
        <v>19</v>
      </c>
      <c r="L596">
        <v>57.27</v>
      </c>
      <c r="M596">
        <v>546</v>
      </c>
      <c r="N596" s="1">
        <v>3.4799999999999998E-2</v>
      </c>
      <c r="O596">
        <v>3.01</v>
      </c>
      <c r="P596">
        <v>3</v>
      </c>
      <c r="Q596" s="1">
        <v>0.1053</v>
      </c>
    </row>
    <row r="597" spans="1:17">
      <c r="A597" t="s">
        <v>24</v>
      </c>
      <c r="B597" t="s">
        <v>53</v>
      </c>
      <c r="C597" t="s">
        <v>389</v>
      </c>
      <c r="D597" t="s">
        <v>82</v>
      </c>
      <c r="E597" t="s">
        <v>62</v>
      </c>
      <c r="F597" t="s">
        <v>55</v>
      </c>
      <c r="G597" t="s">
        <v>130</v>
      </c>
      <c r="H597">
        <v>0</v>
      </c>
      <c r="I597" t="s">
        <v>21</v>
      </c>
      <c r="J597">
        <v>0</v>
      </c>
      <c r="K597">
        <v>0</v>
      </c>
      <c r="L597">
        <v>0</v>
      </c>
      <c r="M597">
        <v>0</v>
      </c>
      <c r="N597" t="s">
        <v>77</v>
      </c>
      <c r="O597">
        <v>0</v>
      </c>
      <c r="P597" t="s">
        <v>77</v>
      </c>
      <c r="Q597" s="1">
        <v>0</v>
      </c>
    </row>
    <row r="598" spans="1:17">
      <c r="A598" t="s">
        <v>24</v>
      </c>
      <c r="B598" t="s">
        <v>53</v>
      </c>
      <c r="C598" t="s">
        <v>390</v>
      </c>
      <c r="D598" t="s">
        <v>79</v>
      </c>
      <c r="E598" t="s">
        <v>62</v>
      </c>
      <c r="F598" t="s">
        <v>55</v>
      </c>
      <c r="G598" t="s">
        <v>130</v>
      </c>
      <c r="H598">
        <v>0</v>
      </c>
      <c r="I598" t="s">
        <v>21</v>
      </c>
      <c r="J598">
        <v>0</v>
      </c>
      <c r="K598">
        <v>1</v>
      </c>
      <c r="L598">
        <v>5.66</v>
      </c>
      <c r="M598">
        <v>9</v>
      </c>
      <c r="N598" s="1">
        <v>0.1111</v>
      </c>
      <c r="O598">
        <v>5.66</v>
      </c>
      <c r="P598" t="s">
        <v>77</v>
      </c>
      <c r="Q598" s="1">
        <v>0</v>
      </c>
    </row>
    <row r="599" spans="1:17">
      <c r="A599" t="s">
        <v>24</v>
      </c>
      <c r="B599" t="s">
        <v>53</v>
      </c>
      <c r="C599" t="s">
        <v>391</v>
      </c>
      <c r="D599" t="s">
        <v>79</v>
      </c>
      <c r="E599" t="s">
        <v>62</v>
      </c>
      <c r="F599" t="s">
        <v>55</v>
      </c>
      <c r="G599" t="s">
        <v>130</v>
      </c>
      <c r="H599">
        <v>0</v>
      </c>
      <c r="I599" t="s">
        <v>21</v>
      </c>
      <c r="J599">
        <v>0</v>
      </c>
      <c r="K599">
        <v>6</v>
      </c>
      <c r="L599">
        <v>20.3</v>
      </c>
      <c r="M599">
        <v>295</v>
      </c>
      <c r="N599" s="1">
        <v>2.0299999999999999E-2</v>
      </c>
      <c r="O599">
        <v>3.38</v>
      </c>
      <c r="P599" t="s">
        <v>77</v>
      </c>
      <c r="Q599" s="1">
        <v>0</v>
      </c>
    </row>
    <row r="600" spans="1:17">
      <c r="A600" t="s">
        <v>24</v>
      </c>
      <c r="B600" t="s">
        <v>53</v>
      </c>
      <c r="C600" t="s">
        <v>392</v>
      </c>
      <c r="D600" t="s">
        <v>75</v>
      </c>
      <c r="E600" t="s">
        <v>62</v>
      </c>
      <c r="F600" t="s">
        <v>55</v>
      </c>
      <c r="G600" t="s">
        <v>130</v>
      </c>
      <c r="H600">
        <v>0</v>
      </c>
      <c r="I600" t="s">
        <v>21</v>
      </c>
      <c r="J600">
        <v>0</v>
      </c>
      <c r="K600">
        <v>0</v>
      </c>
      <c r="L600">
        <v>0</v>
      </c>
      <c r="M600">
        <v>0</v>
      </c>
      <c r="N600" t="s">
        <v>77</v>
      </c>
      <c r="O600">
        <v>0</v>
      </c>
      <c r="P600" t="s">
        <v>77</v>
      </c>
      <c r="Q600" s="1">
        <v>0</v>
      </c>
    </row>
    <row r="601" spans="1:17">
      <c r="A601" t="s">
        <v>24</v>
      </c>
      <c r="B601" t="s">
        <v>53</v>
      </c>
      <c r="C601" t="s">
        <v>393</v>
      </c>
      <c r="D601" t="s">
        <v>82</v>
      </c>
      <c r="E601" t="s">
        <v>62</v>
      </c>
      <c r="F601" t="s">
        <v>55</v>
      </c>
      <c r="G601" t="s">
        <v>130</v>
      </c>
      <c r="H601">
        <v>0</v>
      </c>
      <c r="I601" t="s">
        <v>21</v>
      </c>
      <c r="J601">
        <v>0</v>
      </c>
      <c r="K601">
        <v>0</v>
      </c>
      <c r="L601">
        <v>0</v>
      </c>
      <c r="M601">
        <v>4</v>
      </c>
      <c r="N601" s="1">
        <v>0</v>
      </c>
      <c r="O601">
        <v>0</v>
      </c>
      <c r="P601" t="s">
        <v>77</v>
      </c>
      <c r="Q601" s="1">
        <v>0</v>
      </c>
    </row>
    <row r="602" spans="1:17">
      <c r="A602" t="s">
        <v>24</v>
      </c>
      <c r="B602" t="s">
        <v>53</v>
      </c>
      <c r="C602" t="s">
        <v>394</v>
      </c>
      <c r="D602" t="s">
        <v>75</v>
      </c>
      <c r="E602" t="s">
        <v>62</v>
      </c>
      <c r="F602" t="s">
        <v>55</v>
      </c>
      <c r="G602" t="s">
        <v>130</v>
      </c>
      <c r="H602">
        <v>0</v>
      </c>
      <c r="I602" t="s">
        <v>21</v>
      </c>
      <c r="J602">
        <v>0</v>
      </c>
      <c r="K602">
        <v>0</v>
      </c>
      <c r="L602">
        <v>0</v>
      </c>
      <c r="M602">
        <v>10</v>
      </c>
      <c r="N602" s="1">
        <v>0</v>
      </c>
      <c r="O602">
        <v>0</v>
      </c>
      <c r="P602">
        <v>6</v>
      </c>
      <c r="Q602" s="1">
        <v>0</v>
      </c>
    </row>
    <row r="603" spans="1:17">
      <c r="A603" t="s">
        <v>24</v>
      </c>
      <c r="B603" t="s">
        <v>18</v>
      </c>
      <c r="C603" t="s">
        <v>395</v>
      </c>
      <c r="D603" t="s">
        <v>75</v>
      </c>
      <c r="E603" t="s">
        <v>62</v>
      </c>
      <c r="F603" t="s">
        <v>18</v>
      </c>
      <c r="G603" t="s">
        <v>153</v>
      </c>
      <c r="H603">
        <v>4.33</v>
      </c>
      <c r="I603" t="s">
        <v>21</v>
      </c>
      <c r="J603">
        <v>48.74</v>
      </c>
      <c r="K603">
        <v>78</v>
      </c>
      <c r="L603">
        <v>211.21</v>
      </c>
      <c r="M603" s="10">
        <v>2749</v>
      </c>
      <c r="N603" s="1">
        <v>2.8400000000000002E-2</v>
      </c>
      <c r="O603">
        <v>2.71</v>
      </c>
      <c r="P603">
        <v>7</v>
      </c>
      <c r="Q603" s="1">
        <v>5.5599999999999997E-2</v>
      </c>
    </row>
    <row r="604" spans="1:17">
      <c r="A604" t="s">
        <v>24</v>
      </c>
      <c r="B604" t="s">
        <v>53</v>
      </c>
      <c r="C604" t="s">
        <v>396</v>
      </c>
      <c r="D604" t="s">
        <v>79</v>
      </c>
      <c r="E604" t="s">
        <v>62</v>
      </c>
      <c r="F604" t="s">
        <v>55</v>
      </c>
      <c r="G604" t="s">
        <v>130</v>
      </c>
      <c r="H604">
        <v>0</v>
      </c>
      <c r="I604" t="s">
        <v>21</v>
      </c>
      <c r="J604">
        <v>0</v>
      </c>
      <c r="K604">
        <v>0</v>
      </c>
      <c r="L604">
        <v>0</v>
      </c>
      <c r="M604">
        <v>0</v>
      </c>
      <c r="N604" t="s">
        <v>77</v>
      </c>
      <c r="O604">
        <v>0</v>
      </c>
      <c r="P604" t="s">
        <v>77</v>
      </c>
      <c r="Q604" s="1">
        <v>0</v>
      </c>
    </row>
    <row r="605" spans="1:17">
      <c r="A605" t="s">
        <v>24</v>
      </c>
      <c r="B605" t="s">
        <v>53</v>
      </c>
      <c r="C605" t="s">
        <v>397</v>
      </c>
      <c r="D605" t="s">
        <v>79</v>
      </c>
      <c r="E605" t="s">
        <v>62</v>
      </c>
      <c r="F605" t="s">
        <v>55</v>
      </c>
      <c r="G605" t="s">
        <v>370</v>
      </c>
      <c r="H605">
        <v>0</v>
      </c>
      <c r="I605" t="s">
        <v>21</v>
      </c>
      <c r="J605">
        <v>0</v>
      </c>
      <c r="K605">
        <v>0</v>
      </c>
      <c r="L605">
        <v>0</v>
      </c>
      <c r="M605">
        <v>0</v>
      </c>
      <c r="N605" t="s">
        <v>77</v>
      </c>
      <c r="O605">
        <v>0</v>
      </c>
      <c r="P605" t="s">
        <v>77</v>
      </c>
      <c r="Q605" s="1">
        <v>0</v>
      </c>
    </row>
    <row r="606" spans="1:17">
      <c r="A606" t="s">
        <v>24</v>
      </c>
      <c r="B606" t="s">
        <v>53</v>
      </c>
      <c r="C606" t="s">
        <v>398</v>
      </c>
      <c r="D606" t="s">
        <v>82</v>
      </c>
      <c r="E606" t="s">
        <v>62</v>
      </c>
      <c r="F606" t="s">
        <v>55</v>
      </c>
      <c r="G606" t="s">
        <v>370</v>
      </c>
      <c r="H606">
        <v>0</v>
      </c>
      <c r="I606" t="s">
        <v>21</v>
      </c>
      <c r="J606">
        <v>0</v>
      </c>
      <c r="K606">
        <v>0</v>
      </c>
      <c r="L606">
        <v>0</v>
      </c>
      <c r="M606">
        <v>0</v>
      </c>
      <c r="N606" t="s">
        <v>77</v>
      </c>
      <c r="O606">
        <v>0</v>
      </c>
      <c r="P606" t="s">
        <v>77</v>
      </c>
      <c r="Q606" s="1">
        <v>0</v>
      </c>
    </row>
    <row r="607" spans="1:17">
      <c r="A607" t="s">
        <v>24</v>
      </c>
      <c r="B607" t="s">
        <v>53</v>
      </c>
      <c r="C607" t="s">
        <v>399</v>
      </c>
      <c r="D607" t="s">
        <v>79</v>
      </c>
      <c r="E607" t="s">
        <v>62</v>
      </c>
      <c r="F607" t="s">
        <v>55</v>
      </c>
      <c r="G607" t="s">
        <v>130</v>
      </c>
      <c r="H607">
        <v>0</v>
      </c>
      <c r="I607" t="s">
        <v>21</v>
      </c>
      <c r="J607">
        <v>0</v>
      </c>
      <c r="K607">
        <v>0</v>
      </c>
      <c r="L607">
        <v>0</v>
      </c>
      <c r="M607">
        <v>1</v>
      </c>
      <c r="N607" s="1">
        <v>0</v>
      </c>
      <c r="O607">
        <v>0</v>
      </c>
      <c r="P607" t="s">
        <v>77</v>
      </c>
      <c r="Q607" s="1">
        <v>0</v>
      </c>
    </row>
    <row r="608" spans="1:17">
      <c r="A608" t="s">
        <v>24</v>
      </c>
      <c r="B608" t="s">
        <v>53</v>
      </c>
      <c r="C608" t="s">
        <v>400</v>
      </c>
      <c r="D608" t="s">
        <v>75</v>
      </c>
      <c r="E608" t="s">
        <v>62</v>
      </c>
      <c r="F608" t="s">
        <v>55</v>
      </c>
      <c r="G608" t="s">
        <v>130</v>
      </c>
      <c r="H608">
        <v>0</v>
      </c>
      <c r="I608" t="s">
        <v>21</v>
      </c>
      <c r="J608">
        <v>0</v>
      </c>
      <c r="K608">
        <v>0</v>
      </c>
      <c r="L608">
        <v>0</v>
      </c>
      <c r="M608">
        <v>28</v>
      </c>
      <c r="N608" s="1">
        <v>0</v>
      </c>
      <c r="O608">
        <v>0</v>
      </c>
      <c r="P608" t="s">
        <v>77</v>
      </c>
      <c r="Q608" s="1">
        <v>0</v>
      </c>
    </row>
    <row r="609" spans="1:17">
      <c r="A609" t="s">
        <v>24</v>
      </c>
      <c r="B609" t="s">
        <v>53</v>
      </c>
      <c r="C609" t="s">
        <v>401</v>
      </c>
      <c r="D609" t="s">
        <v>82</v>
      </c>
      <c r="E609" t="s">
        <v>62</v>
      </c>
      <c r="F609" t="s">
        <v>55</v>
      </c>
      <c r="G609" t="s">
        <v>130</v>
      </c>
      <c r="H609">
        <v>0</v>
      </c>
      <c r="I609" t="s">
        <v>21</v>
      </c>
      <c r="J609">
        <v>0</v>
      </c>
      <c r="K609">
        <v>1</v>
      </c>
      <c r="L609">
        <v>0.71</v>
      </c>
      <c r="M609">
        <v>16</v>
      </c>
      <c r="N609" s="1">
        <v>6.25E-2</v>
      </c>
      <c r="O609">
        <v>0.71</v>
      </c>
      <c r="P609" t="s">
        <v>77</v>
      </c>
      <c r="Q609" s="1">
        <v>0</v>
      </c>
    </row>
    <row r="610" spans="1:17">
      <c r="A610" t="s">
        <v>24</v>
      </c>
      <c r="B610" t="s">
        <v>53</v>
      </c>
      <c r="C610" t="s">
        <v>402</v>
      </c>
      <c r="D610" t="s">
        <v>79</v>
      </c>
      <c r="E610" t="s">
        <v>62</v>
      </c>
      <c r="F610" t="s">
        <v>55</v>
      </c>
      <c r="G610" t="s">
        <v>130</v>
      </c>
      <c r="H610">
        <v>0</v>
      </c>
      <c r="I610" t="s">
        <v>21</v>
      </c>
      <c r="J610">
        <v>0</v>
      </c>
      <c r="K610">
        <v>0</v>
      </c>
      <c r="L610">
        <v>0</v>
      </c>
      <c r="M610">
        <v>1</v>
      </c>
      <c r="N610" s="1">
        <v>0</v>
      </c>
      <c r="O610">
        <v>0</v>
      </c>
      <c r="P610" t="s">
        <v>77</v>
      </c>
      <c r="Q610" s="1">
        <v>0</v>
      </c>
    </row>
    <row r="611" spans="1:17">
      <c r="A611" t="s">
        <v>24</v>
      </c>
      <c r="B611" t="s">
        <v>53</v>
      </c>
      <c r="C611" t="s">
        <v>403</v>
      </c>
      <c r="D611" t="s">
        <v>82</v>
      </c>
      <c r="E611" t="s">
        <v>62</v>
      </c>
      <c r="F611" t="s">
        <v>55</v>
      </c>
      <c r="G611" t="s">
        <v>130</v>
      </c>
      <c r="H611">
        <v>0</v>
      </c>
      <c r="I611" t="s">
        <v>21</v>
      </c>
      <c r="J611">
        <v>0</v>
      </c>
      <c r="K611">
        <v>0</v>
      </c>
      <c r="L611">
        <v>0</v>
      </c>
      <c r="M611">
        <v>16</v>
      </c>
      <c r="N611" s="1">
        <v>0</v>
      </c>
      <c r="O611">
        <v>0</v>
      </c>
      <c r="P611" t="s">
        <v>77</v>
      </c>
      <c r="Q611" s="1">
        <v>0</v>
      </c>
    </row>
    <row r="612" spans="1:17">
      <c r="A612" t="s">
        <v>24</v>
      </c>
      <c r="B612" t="s">
        <v>53</v>
      </c>
      <c r="C612" t="s">
        <v>404</v>
      </c>
      <c r="D612" t="s">
        <v>82</v>
      </c>
      <c r="E612" t="s">
        <v>62</v>
      </c>
      <c r="F612" t="s">
        <v>55</v>
      </c>
      <c r="G612" t="s">
        <v>370</v>
      </c>
      <c r="H612">
        <v>0</v>
      </c>
      <c r="I612" t="s">
        <v>21</v>
      </c>
      <c r="J612">
        <v>0</v>
      </c>
      <c r="K612">
        <v>0</v>
      </c>
      <c r="L612">
        <v>0</v>
      </c>
      <c r="M612">
        <v>0</v>
      </c>
      <c r="N612" t="s">
        <v>77</v>
      </c>
      <c r="O612">
        <v>0</v>
      </c>
      <c r="P612" t="s">
        <v>77</v>
      </c>
      <c r="Q612" s="1">
        <v>0</v>
      </c>
    </row>
    <row r="613" spans="1:17">
      <c r="A613" t="s">
        <v>24</v>
      </c>
      <c r="B613" t="s">
        <v>53</v>
      </c>
      <c r="C613" t="s">
        <v>405</v>
      </c>
      <c r="D613" t="s">
        <v>79</v>
      </c>
      <c r="E613" t="s">
        <v>61</v>
      </c>
      <c r="F613" t="s">
        <v>55</v>
      </c>
      <c r="G613" t="s">
        <v>370</v>
      </c>
      <c r="H613">
        <v>0</v>
      </c>
      <c r="I613" t="s">
        <v>21</v>
      </c>
      <c r="J613">
        <v>0</v>
      </c>
      <c r="K613">
        <v>0</v>
      </c>
      <c r="L613">
        <v>0</v>
      </c>
      <c r="M613">
        <v>0</v>
      </c>
      <c r="N613" t="s">
        <v>77</v>
      </c>
      <c r="O613">
        <v>0</v>
      </c>
      <c r="P613" t="s">
        <v>77</v>
      </c>
      <c r="Q613" s="1">
        <v>0</v>
      </c>
    </row>
    <row r="614" spans="1:17">
      <c r="A614" t="s">
        <v>24</v>
      </c>
      <c r="B614" t="s">
        <v>53</v>
      </c>
      <c r="C614" t="s">
        <v>406</v>
      </c>
      <c r="D614" t="s">
        <v>75</v>
      </c>
      <c r="E614" t="s">
        <v>61</v>
      </c>
      <c r="F614" t="s">
        <v>55</v>
      </c>
      <c r="G614" t="s">
        <v>130</v>
      </c>
      <c r="H614">
        <v>2</v>
      </c>
      <c r="I614" t="s">
        <v>21</v>
      </c>
      <c r="J614">
        <v>5.5</v>
      </c>
      <c r="K614">
        <v>6</v>
      </c>
      <c r="L614">
        <v>10.99</v>
      </c>
      <c r="M614">
        <v>602</v>
      </c>
      <c r="N614" s="1">
        <v>0.01</v>
      </c>
      <c r="O614">
        <v>1.83</v>
      </c>
      <c r="P614">
        <v>5</v>
      </c>
      <c r="Q614" s="1">
        <v>0.33329999999999999</v>
      </c>
    </row>
    <row r="615" spans="1:17">
      <c r="A615" t="s">
        <v>24</v>
      </c>
      <c r="B615" t="s">
        <v>53</v>
      </c>
      <c r="C615" t="s">
        <v>407</v>
      </c>
      <c r="D615" t="s">
        <v>75</v>
      </c>
      <c r="E615" t="s">
        <v>61</v>
      </c>
      <c r="F615" t="s">
        <v>55</v>
      </c>
      <c r="G615" t="s">
        <v>370</v>
      </c>
      <c r="H615">
        <v>0</v>
      </c>
      <c r="I615" t="s">
        <v>21</v>
      </c>
      <c r="J615">
        <v>0</v>
      </c>
      <c r="K615">
        <v>0</v>
      </c>
      <c r="L615">
        <v>0</v>
      </c>
      <c r="M615">
        <v>0</v>
      </c>
      <c r="N615" t="s">
        <v>77</v>
      </c>
      <c r="O615">
        <v>0</v>
      </c>
      <c r="P615" t="s">
        <v>77</v>
      </c>
      <c r="Q615" s="1">
        <v>0</v>
      </c>
    </row>
    <row r="616" spans="1:17">
      <c r="A616" t="s">
        <v>24</v>
      </c>
      <c r="B616" t="s">
        <v>53</v>
      </c>
      <c r="C616" t="s">
        <v>408</v>
      </c>
      <c r="D616" t="s">
        <v>75</v>
      </c>
      <c r="E616" t="s">
        <v>61</v>
      </c>
      <c r="F616" t="s">
        <v>55</v>
      </c>
      <c r="G616" t="s">
        <v>370</v>
      </c>
      <c r="H616">
        <v>0</v>
      </c>
      <c r="I616" t="s">
        <v>21</v>
      </c>
      <c r="J616">
        <v>0</v>
      </c>
      <c r="K616">
        <v>0</v>
      </c>
      <c r="L616">
        <v>0</v>
      </c>
      <c r="M616">
        <v>0</v>
      </c>
      <c r="N616" t="s">
        <v>77</v>
      </c>
      <c r="O616">
        <v>0</v>
      </c>
      <c r="P616" t="s">
        <v>77</v>
      </c>
      <c r="Q616" s="1">
        <v>0</v>
      </c>
    </row>
    <row r="617" spans="1:17">
      <c r="A617" t="s">
        <v>24</v>
      </c>
      <c r="B617" t="s">
        <v>53</v>
      </c>
      <c r="C617" t="s">
        <v>409</v>
      </c>
      <c r="D617" t="s">
        <v>79</v>
      </c>
      <c r="E617" t="s">
        <v>61</v>
      </c>
      <c r="F617" t="s">
        <v>55</v>
      </c>
      <c r="G617" t="s">
        <v>130</v>
      </c>
      <c r="H617">
        <v>0</v>
      </c>
      <c r="I617" t="s">
        <v>21</v>
      </c>
      <c r="J617">
        <v>0</v>
      </c>
      <c r="K617">
        <v>1</v>
      </c>
      <c r="L617">
        <v>3.67</v>
      </c>
      <c r="M617">
        <v>12</v>
      </c>
      <c r="N617" s="1">
        <v>8.3299999999999999E-2</v>
      </c>
      <c r="O617">
        <v>3.67</v>
      </c>
      <c r="P617" t="s">
        <v>77</v>
      </c>
      <c r="Q617" s="1">
        <v>0</v>
      </c>
    </row>
    <row r="618" spans="1:17">
      <c r="A618" t="s">
        <v>24</v>
      </c>
      <c r="B618" t="s">
        <v>53</v>
      </c>
      <c r="C618" t="s">
        <v>410</v>
      </c>
      <c r="D618" t="s">
        <v>82</v>
      </c>
      <c r="E618" t="s">
        <v>61</v>
      </c>
      <c r="F618" t="s">
        <v>55</v>
      </c>
      <c r="G618" t="s">
        <v>370</v>
      </c>
      <c r="H618">
        <v>0</v>
      </c>
      <c r="I618" t="s">
        <v>21</v>
      </c>
      <c r="J618">
        <v>0</v>
      </c>
      <c r="K618">
        <v>0</v>
      </c>
      <c r="L618">
        <v>0</v>
      </c>
      <c r="M618">
        <v>0</v>
      </c>
      <c r="N618" t="s">
        <v>77</v>
      </c>
      <c r="O618">
        <v>0</v>
      </c>
      <c r="P618" t="s">
        <v>77</v>
      </c>
      <c r="Q618" s="1">
        <v>0</v>
      </c>
    </row>
    <row r="619" spans="1:17">
      <c r="A619" t="s">
        <v>24</v>
      </c>
      <c r="B619" t="s">
        <v>53</v>
      </c>
      <c r="C619" t="s">
        <v>411</v>
      </c>
      <c r="D619" t="s">
        <v>79</v>
      </c>
      <c r="E619" t="s">
        <v>61</v>
      </c>
      <c r="F619" t="s">
        <v>55</v>
      </c>
      <c r="G619" t="s">
        <v>370</v>
      </c>
      <c r="H619">
        <v>0</v>
      </c>
      <c r="I619" t="s">
        <v>21</v>
      </c>
      <c r="J619">
        <v>0</v>
      </c>
      <c r="K619">
        <v>0</v>
      </c>
      <c r="L619">
        <v>0</v>
      </c>
      <c r="M619">
        <v>0</v>
      </c>
      <c r="N619" t="s">
        <v>77</v>
      </c>
      <c r="O619">
        <v>0</v>
      </c>
      <c r="P619" t="s">
        <v>77</v>
      </c>
      <c r="Q619" s="1">
        <v>0</v>
      </c>
    </row>
    <row r="620" spans="1:17">
      <c r="A620" t="s">
        <v>24</v>
      </c>
      <c r="B620" t="s">
        <v>53</v>
      </c>
      <c r="C620" t="s">
        <v>412</v>
      </c>
      <c r="D620" t="s">
        <v>82</v>
      </c>
      <c r="E620" t="s">
        <v>61</v>
      </c>
      <c r="F620" t="s">
        <v>55</v>
      </c>
      <c r="G620" t="s">
        <v>370</v>
      </c>
      <c r="H620">
        <v>0</v>
      </c>
      <c r="I620" t="s">
        <v>21</v>
      </c>
      <c r="J620">
        <v>0</v>
      </c>
      <c r="K620">
        <v>0</v>
      </c>
      <c r="L620">
        <v>0</v>
      </c>
      <c r="M620">
        <v>0</v>
      </c>
      <c r="N620" t="s">
        <v>77</v>
      </c>
      <c r="O620">
        <v>0</v>
      </c>
      <c r="P620" t="s">
        <v>77</v>
      </c>
      <c r="Q620" s="1">
        <v>0</v>
      </c>
    </row>
    <row r="621" spans="1:17">
      <c r="A621" t="s">
        <v>24</v>
      </c>
      <c r="B621" t="s">
        <v>53</v>
      </c>
      <c r="C621" t="s">
        <v>413</v>
      </c>
      <c r="D621" t="s">
        <v>75</v>
      </c>
      <c r="E621" t="s">
        <v>61</v>
      </c>
      <c r="F621" t="s">
        <v>55</v>
      </c>
      <c r="G621" t="s">
        <v>130</v>
      </c>
      <c r="H621">
        <v>0</v>
      </c>
      <c r="I621" t="s">
        <v>21</v>
      </c>
      <c r="J621">
        <v>0</v>
      </c>
      <c r="K621">
        <v>1</v>
      </c>
      <c r="L621">
        <v>1.61</v>
      </c>
      <c r="M621">
        <v>3</v>
      </c>
      <c r="N621" s="1">
        <v>0.33329999999999999</v>
      </c>
      <c r="O621">
        <v>1.61</v>
      </c>
      <c r="P621" t="s">
        <v>77</v>
      </c>
      <c r="Q621" s="1">
        <v>0</v>
      </c>
    </row>
    <row r="622" spans="1:17">
      <c r="A622" t="s">
        <v>24</v>
      </c>
      <c r="B622" t="s">
        <v>53</v>
      </c>
      <c r="C622" t="s">
        <v>414</v>
      </c>
      <c r="D622" t="s">
        <v>82</v>
      </c>
      <c r="E622" t="s">
        <v>61</v>
      </c>
      <c r="F622" t="s">
        <v>55</v>
      </c>
      <c r="G622" t="s">
        <v>370</v>
      </c>
      <c r="H622">
        <v>0</v>
      </c>
      <c r="I622" t="s">
        <v>21</v>
      </c>
      <c r="J622">
        <v>0</v>
      </c>
      <c r="K622">
        <v>0</v>
      </c>
      <c r="L622">
        <v>0</v>
      </c>
      <c r="M622">
        <v>0</v>
      </c>
      <c r="N622" t="s">
        <v>77</v>
      </c>
      <c r="O622">
        <v>0</v>
      </c>
      <c r="P622" t="s">
        <v>77</v>
      </c>
      <c r="Q622" s="1">
        <v>0</v>
      </c>
    </row>
    <row r="623" spans="1:17">
      <c r="A623" t="s">
        <v>24</v>
      </c>
      <c r="B623" t="s">
        <v>53</v>
      </c>
      <c r="C623" t="s">
        <v>415</v>
      </c>
      <c r="D623" t="s">
        <v>75</v>
      </c>
      <c r="E623" t="s">
        <v>61</v>
      </c>
      <c r="F623" t="s">
        <v>55</v>
      </c>
      <c r="G623" t="s">
        <v>370</v>
      </c>
      <c r="H623">
        <v>0</v>
      </c>
      <c r="I623" t="s">
        <v>21</v>
      </c>
      <c r="J623">
        <v>0</v>
      </c>
      <c r="K623">
        <v>0</v>
      </c>
      <c r="L623">
        <v>0</v>
      </c>
      <c r="M623">
        <v>0</v>
      </c>
      <c r="N623" t="s">
        <v>77</v>
      </c>
      <c r="O623">
        <v>0</v>
      </c>
      <c r="P623" t="s">
        <v>77</v>
      </c>
      <c r="Q623" s="1">
        <v>0</v>
      </c>
    </row>
    <row r="624" spans="1:17">
      <c r="A624" t="s">
        <v>24</v>
      </c>
      <c r="B624" t="s">
        <v>53</v>
      </c>
      <c r="C624" t="s">
        <v>416</v>
      </c>
      <c r="D624" t="s">
        <v>82</v>
      </c>
      <c r="E624" t="s">
        <v>61</v>
      </c>
      <c r="F624" t="s">
        <v>55</v>
      </c>
      <c r="G624" t="s">
        <v>130</v>
      </c>
      <c r="H624">
        <v>1</v>
      </c>
      <c r="I624" t="s">
        <v>21</v>
      </c>
      <c r="J624">
        <v>6.02</v>
      </c>
      <c r="K624">
        <v>2</v>
      </c>
      <c r="L624">
        <v>6.02</v>
      </c>
      <c r="M624">
        <v>15</v>
      </c>
      <c r="N624" s="1">
        <v>0.1333</v>
      </c>
      <c r="O624">
        <v>3.01</v>
      </c>
      <c r="P624">
        <v>5</v>
      </c>
      <c r="Q624" s="1">
        <v>0.5</v>
      </c>
    </row>
    <row r="625" spans="1:17">
      <c r="A625" t="s">
        <v>24</v>
      </c>
      <c r="B625" t="s">
        <v>53</v>
      </c>
      <c r="C625" t="s">
        <v>417</v>
      </c>
      <c r="D625" t="s">
        <v>79</v>
      </c>
      <c r="E625" t="s">
        <v>61</v>
      </c>
      <c r="F625" t="s">
        <v>55</v>
      </c>
      <c r="G625" t="s">
        <v>130</v>
      </c>
      <c r="H625">
        <v>0</v>
      </c>
      <c r="I625" t="s">
        <v>21</v>
      </c>
      <c r="J625">
        <v>0</v>
      </c>
      <c r="K625">
        <v>5</v>
      </c>
      <c r="L625">
        <v>9.3800000000000008</v>
      </c>
      <c r="M625">
        <v>96</v>
      </c>
      <c r="N625" s="1">
        <v>5.21E-2</v>
      </c>
      <c r="O625">
        <v>1.88</v>
      </c>
      <c r="P625">
        <v>5</v>
      </c>
      <c r="Q625" s="1">
        <v>0</v>
      </c>
    </row>
    <row r="626" spans="1:17">
      <c r="A626" t="s">
        <v>24</v>
      </c>
      <c r="B626" t="s">
        <v>53</v>
      </c>
      <c r="C626" t="s">
        <v>418</v>
      </c>
      <c r="D626" t="s">
        <v>79</v>
      </c>
      <c r="E626" t="s">
        <v>61</v>
      </c>
      <c r="F626" t="s">
        <v>55</v>
      </c>
      <c r="G626" t="s">
        <v>370</v>
      </c>
      <c r="H626">
        <v>0</v>
      </c>
      <c r="I626" t="s">
        <v>21</v>
      </c>
      <c r="J626">
        <v>0</v>
      </c>
      <c r="K626">
        <v>0</v>
      </c>
      <c r="L626">
        <v>0</v>
      </c>
      <c r="M626">
        <v>0</v>
      </c>
      <c r="N626" t="s">
        <v>77</v>
      </c>
      <c r="O626">
        <v>0</v>
      </c>
      <c r="P626" t="s">
        <v>77</v>
      </c>
      <c r="Q626" s="1">
        <v>0</v>
      </c>
    </row>
    <row r="627" spans="1:17">
      <c r="A627" t="s">
        <v>24</v>
      </c>
      <c r="B627" t="s">
        <v>53</v>
      </c>
      <c r="C627" t="s">
        <v>419</v>
      </c>
      <c r="D627" t="s">
        <v>75</v>
      </c>
      <c r="E627" t="s">
        <v>61</v>
      </c>
      <c r="F627" t="s">
        <v>55</v>
      </c>
      <c r="G627" t="s">
        <v>370</v>
      </c>
      <c r="H627">
        <v>0</v>
      </c>
      <c r="I627" t="s">
        <v>21</v>
      </c>
      <c r="J627">
        <v>0</v>
      </c>
      <c r="K627">
        <v>0</v>
      </c>
      <c r="L627">
        <v>0</v>
      </c>
      <c r="M627">
        <v>0</v>
      </c>
      <c r="N627" t="s">
        <v>77</v>
      </c>
      <c r="O627">
        <v>0</v>
      </c>
      <c r="P627" t="s">
        <v>77</v>
      </c>
      <c r="Q627" s="1">
        <v>0</v>
      </c>
    </row>
    <row r="628" spans="1:17">
      <c r="A628" t="s">
        <v>24</v>
      </c>
      <c r="B628" t="s">
        <v>53</v>
      </c>
      <c r="C628" t="s">
        <v>420</v>
      </c>
      <c r="D628" t="s">
        <v>79</v>
      </c>
      <c r="E628" t="s">
        <v>61</v>
      </c>
      <c r="F628" t="s">
        <v>55</v>
      </c>
      <c r="G628" t="s">
        <v>370</v>
      </c>
      <c r="H628">
        <v>0</v>
      </c>
      <c r="I628" t="s">
        <v>21</v>
      </c>
      <c r="J628">
        <v>0</v>
      </c>
      <c r="K628">
        <v>0</v>
      </c>
      <c r="L628">
        <v>0</v>
      </c>
      <c r="M628">
        <v>0</v>
      </c>
      <c r="N628" t="s">
        <v>77</v>
      </c>
      <c r="O628">
        <v>0</v>
      </c>
      <c r="P628" t="s">
        <v>77</v>
      </c>
      <c r="Q628" s="1">
        <v>0</v>
      </c>
    </row>
    <row r="629" spans="1:17">
      <c r="A629" t="s">
        <v>24</v>
      </c>
      <c r="B629" t="s">
        <v>53</v>
      </c>
      <c r="C629" t="s">
        <v>421</v>
      </c>
      <c r="D629" t="s">
        <v>79</v>
      </c>
      <c r="E629" t="s">
        <v>61</v>
      </c>
      <c r="F629" t="s">
        <v>55</v>
      </c>
      <c r="G629" t="s">
        <v>370</v>
      </c>
      <c r="H629">
        <v>0</v>
      </c>
      <c r="I629" t="s">
        <v>21</v>
      </c>
      <c r="J629">
        <v>0</v>
      </c>
      <c r="K629">
        <v>0</v>
      </c>
      <c r="L629">
        <v>0</v>
      </c>
      <c r="M629">
        <v>0</v>
      </c>
      <c r="N629" t="s">
        <v>77</v>
      </c>
      <c r="O629">
        <v>0</v>
      </c>
      <c r="P629" t="s">
        <v>77</v>
      </c>
      <c r="Q629" s="1">
        <v>0</v>
      </c>
    </row>
    <row r="630" spans="1:17">
      <c r="A630" t="s">
        <v>24</v>
      </c>
      <c r="B630" t="s">
        <v>53</v>
      </c>
      <c r="C630" t="s">
        <v>422</v>
      </c>
      <c r="D630" t="s">
        <v>82</v>
      </c>
      <c r="E630" t="s">
        <v>61</v>
      </c>
      <c r="F630" t="s">
        <v>55</v>
      </c>
      <c r="G630" t="s">
        <v>370</v>
      </c>
      <c r="H630">
        <v>0</v>
      </c>
      <c r="I630" t="s">
        <v>21</v>
      </c>
      <c r="J630">
        <v>0</v>
      </c>
      <c r="K630">
        <v>0</v>
      </c>
      <c r="L630">
        <v>0</v>
      </c>
      <c r="M630">
        <v>0</v>
      </c>
      <c r="N630" t="s">
        <v>77</v>
      </c>
      <c r="O630">
        <v>0</v>
      </c>
      <c r="P630" t="s">
        <v>77</v>
      </c>
      <c r="Q630" s="1">
        <v>0</v>
      </c>
    </row>
    <row r="631" spans="1:17">
      <c r="A631" t="s">
        <v>24</v>
      </c>
      <c r="B631" t="s">
        <v>53</v>
      </c>
      <c r="C631" t="s">
        <v>423</v>
      </c>
      <c r="D631" t="s">
        <v>75</v>
      </c>
      <c r="E631" t="s">
        <v>61</v>
      </c>
      <c r="F631" t="s">
        <v>55</v>
      </c>
      <c r="G631" t="s">
        <v>130</v>
      </c>
      <c r="H631">
        <v>1</v>
      </c>
      <c r="I631" t="s">
        <v>21</v>
      </c>
      <c r="J631">
        <v>47.15</v>
      </c>
      <c r="K631">
        <v>17</v>
      </c>
      <c r="L631">
        <v>47.15</v>
      </c>
      <c r="M631">
        <v>244</v>
      </c>
      <c r="N631" s="1">
        <v>6.9699999999999998E-2</v>
      </c>
      <c r="O631">
        <v>2.77</v>
      </c>
      <c r="P631" t="s">
        <v>77</v>
      </c>
      <c r="Q631" s="1">
        <v>5.8799999999999998E-2</v>
      </c>
    </row>
    <row r="632" spans="1:17">
      <c r="A632" t="s">
        <v>24</v>
      </c>
      <c r="B632" t="s">
        <v>53</v>
      </c>
      <c r="C632" t="s">
        <v>424</v>
      </c>
      <c r="D632" t="s">
        <v>75</v>
      </c>
      <c r="E632" t="s">
        <v>61</v>
      </c>
      <c r="F632" t="s">
        <v>55</v>
      </c>
      <c r="G632" t="s">
        <v>370</v>
      </c>
      <c r="H632">
        <v>0</v>
      </c>
      <c r="I632" t="s">
        <v>21</v>
      </c>
      <c r="J632">
        <v>0</v>
      </c>
      <c r="K632">
        <v>0</v>
      </c>
      <c r="L632">
        <v>0</v>
      </c>
      <c r="M632">
        <v>0</v>
      </c>
      <c r="N632" t="s">
        <v>77</v>
      </c>
      <c r="O632">
        <v>0</v>
      </c>
      <c r="P632" t="s">
        <v>77</v>
      </c>
      <c r="Q632" s="1">
        <v>0</v>
      </c>
    </row>
    <row r="633" spans="1:17">
      <c r="A633" t="s">
        <v>24</v>
      </c>
      <c r="B633" t="s">
        <v>53</v>
      </c>
      <c r="C633" t="s">
        <v>425</v>
      </c>
      <c r="D633" t="s">
        <v>79</v>
      </c>
      <c r="E633" t="s">
        <v>61</v>
      </c>
      <c r="F633" t="s">
        <v>55</v>
      </c>
      <c r="G633" t="s">
        <v>130</v>
      </c>
      <c r="H633">
        <v>0</v>
      </c>
      <c r="I633" t="s">
        <v>21</v>
      </c>
      <c r="J633">
        <v>0</v>
      </c>
      <c r="K633">
        <v>0</v>
      </c>
      <c r="L633">
        <v>0</v>
      </c>
      <c r="M633">
        <v>6</v>
      </c>
      <c r="N633" s="1">
        <v>0</v>
      </c>
      <c r="O633">
        <v>0</v>
      </c>
      <c r="P633" t="s">
        <v>77</v>
      </c>
      <c r="Q633" s="1">
        <v>0</v>
      </c>
    </row>
    <row r="634" spans="1:17">
      <c r="A634" t="s">
        <v>24</v>
      </c>
      <c r="B634" t="s">
        <v>53</v>
      </c>
      <c r="C634" t="s">
        <v>426</v>
      </c>
      <c r="D634" t="s">
        <v>79</v>
      </c>
      <c r="E634" t="s">
        <v>61</v>
      </c>
      <c r="F634" t="s">
        <v>55</v>
      </c>
      <c r="G634" t="s">
        <v>370</v>
      </c>
      <c r="H634">
        <v>0</v>
      </c>
      <c r="I634" t="s">
        <v>21</v>
      </c>
      <c r="J634">
        <v>0</v>
      </c>
      <c r="K634">
        <v>0</v>
      </c>
      <c r="L634">
        <v>0</v>
      </c>
      <c r="M634">
        <v>0</v>
      </c>
      <c r="N634" t="s">
        <v>77</v>
      </c>
      <c r="O634">
        <v>0</v>
      </c>
      <c r="P634" t="s">
        <v>77</v>
      </c>
      <c r="Q634" s="1">
        <v>0</v>
      </c>
    </row>
    <row r="635" spans="1:17">
      <c r="A635" t="s">
        <v>24</v>
      </c>
      <c r="B635" t="s">
        <v>53</v>
      </c>
      <c r="C635" t="s">
        <v>427</v>
      </c>
      <c r="D635" t="s">
        <v>75</v>
      </c>
      <c r="E635" t="s">
        <v>61</v>
      </c>
      <c r="F635" t="s">
        <v>55</v>
      </c>
      <c r="G635" t="s">
        <v>370</v>
      </c>
      <c r="H635">
        <v>0</v>
      </c>
      <c r="I635" t="s">
        <v>21</v>
      </c>
      <c r="J635">
        <v>0</v>
      </c>
      <c r="K635">
        <v>0</v>
      </c>
      <c r="L635">
        <v>0</v>
      </c>
      <c r="M635">
        <v>0</v>
      </c>
      <c r="N635" t="s">
        <v>77</v>
      </c>
      <c r="O635">
        <v>0</v>
      </c>
      <c r="P635" t="s">
        <v>77</v>
      </c>
      <c r="Q635" s="1">
        <v>0</v>
      </c>
    </row>
    <row r="636" spans="1:17">
      <c r="A636" t="s">
        <v>24</v>
      </c>
      <c r="B636" t="s">
        <v>53</v>
      </c>
      <c r="C636" t="s">
        <v>428</v>
      </c>
      <c r="D636" t="s">
        <v>82</v>
      </c>
      <c r="E636" t="s">
        <v>61</v>
      </c>
      <c r="F636" t="s">
        <v>55</v>
      </c>
      <c r="G636" t="s">
        <v>130</v>
      </c>
      <c r="H636">
        <v>0</v>
      </c>
      <c r="I636" t="s">
        <v>21</v>
      </c>
      <c r="J636">
        <v>0</v>
      </c>
      <c r="K636">
        <v>1</v>
      </c>
      <c r="L636">
        <v>1.2</v>
      </c>
      <c r="M636">
        <v>7</v>
      </c>
      <c r="N636" s="1">
        <v>0.1429</v>
      </c>
      <c r="O636">
        <v>1.2</v>
      </c>
      <c r="P636" t="s">
        <v>77</v>
      </c>
      <c r="Q636" s="1">
        <v>0</v>
      </c>
    </row>
    <row r="637" spans="1:17">
      <c r="A637" t="s">
        <v>24</v>
      </c>
      <c r="B637" t="s">
        <v>53</v>
      </c>
      <c r="C637" t="s">
        <v>429</v>
      </c>
      <c r="D637" t="s">
        <v>82</v>
      </c>
      <c r="E637" t="s">
        <v>61</v>
      </c>
      <c r="F637" t="s">
        <v>55</v>
      </c>
      <c r="G637" t="s">
        <v>370</v>
      </c>
      <c r="H637">
        <v>0</v>
      </c>
      <c r="I637" t="s">
        <v>21</v>
      </c>
      <c r="J637">
        <v>0</v>
      </c>
      <c r="K637">
        <v>0</v>
      </c>
      <c r="L637">
        <v>0</v>
      </c>
      <c r="M637">
        <v>0</v>
      </c>
      <c r="N637" t="s">
        <v>77</v>
      </c>
      <c r="O637">
        <v>0</v>
      </c>
      <c r="P637" t="s">
        <v>77</v>
      </c>
      <c r="Q637" s="1">
        <v>0</v>
      </c>
    </row>
    <row r="638" spans="1:17">
      <c r="A638" t="s">
        <v>24</v>
      </c>
      <c r="B638" t="s">
        <v>53</v>
      </c>
      <c r="C638" t="s">
        <v>430</v>
      </c>
      <c r="D638" t="s">
        <v>82</v>
      </c>
      <c r="E638" t="s">
        <v>61</v>
      </c>
      <c r="F638" t="s">
        <v>55</v>
      </c>
      <c r="G638" t="s">
        <v>370</v>
      </c>
      <c r="H638">
        <v>0</v>
      </c>
      <c r="I638" t="s">
        <v>21</v>
      </c>
      <c r="J638">
        <v>0</v>
      </c>
      <c r="K638">
        <v>0</v>
      </c>
      <c r="L638">
        <v>0</v>
      </c>
      <c r="M638">
        <v>0</v>
      </c>
      <c r="N638" t="s">
        <v>77</v>
      </c>
      <c r="O638">
        <v>0</v>
      </c>
      <c r="P638" t="s">
        <v>77</v>
      </c>
      <c r="Q638" s="1">
        <v>0</v>
      </c>
    </row>
    <row r="639" spans="1:17">
      <c r="A639" t="s">
        <v>24</v>
      </c>
      <c r="B639" t="s">
        <v>53</v>
      </c>
      <c r="C639" t="s">
        <v>431</v>
      </c>
      <c r="D639" t="s">
        <v>82</v>
      </c>
      <c r="E639" t="s">
        <v>61</v>
      </c>
      <c r="F639" t="s">
        <v>55</v>
      </c>
      <c r="G639" t="s">
        <v>130</v>
      </c>
      <c r="H639">
        <v>0</v>
      </c>
      <c r="I639" t="s">
        <v>21</v>
      </c>
      <c r="J639">
        <v>0</v>
      </c>
      <c r="K639">
        <v>0</v>
      </c>
      <c r="L639">
        <v>0</v>
      </c>
      <c r="M639">
        <v>0</v>
      </c>
      <c r="N639" t="s">
        <v>77</v>
      </c>
      <c r="O639">
        <v>0</v>
      </c>
      <c r="P639" t="s">
        <v>77</v>
      </c>
      <c r="Q639" s="1">
        <v>0</v>
      </c>
    </row>
    <row r="640" spans="1:17">
      <c r="A640" t="s">
        <v>24</v>
      </c>
      <c r="B640" t="s">
        <v>53</v>
      </c>
      <c r="C640" t="s">
        <v>432</v>
      </c>
      <c r="D640" t="s">
        <v>82</v>
      </c>
      <c r="E640" t="s">
        <v>54</v>
      </c>
      <c r="F640" t="s">
        <v>55</v>
      </c>
      <c r="G640" t="s">
        <v>370</v>
      </c>
      <c r="H640">
        <v>0</v>
      </c>
      <c r="I640" t="s">
        <v>21</v>
      </c>
      <c r="J640">
        <v>0</v>
      </c>
      <c r="K640">
        <v>0</v>
      </c>
      <c r="L640">
        <v>0</v>
      </c>
      <c r="M640">
        <v>0</v>
      </c>
      <c r="N640" t="s">
        <v>77</v>
      </c>
      <c r="O640">
        <v>0</v>
      </c>
      <c r="P640" t="s">
        <v>77</v>
      </c>
      <c r="Q640" s="1">
        <v>0</v>
      </c>
    </row>
    <row r="641" spans="1:17">
      <c r="A641" t="s">
        <v>24</v>
      </c>
      <c r="B641" t="s">
        <v>53</v>
      </c>
      <c r="C641" t="s">
        <v>433</v>
      </c>
      <c r="D641" t="s">
        <v>82</v>
      </c>
      <c r="E641" t="s">
        <v>54</v>
      </c>
      <c r="F641" t="s">
        <v>55</v>
      </c>
      <c r="G641" t="s">
        <v>130</v>
      </c>
      <c r="H641">
        <v>0</v>
      </c>
      <c r="I641" t="s">
        <v>21</v>
      </c>
      <c r="J641">
        <v>0</v>
      </c>
      <c r="K641">
        <v>1</v>
      </c>
      <c r="L641">
        <v>2.58</v>
      </c>
      <c r="M641">
        <v>47</v>
      </c>
      <c r="N641" s="1">
        <v>2.1299999999999999E-2</v>
      </c>
      <c r="O641">
        <v>2.58</v>
      </c>
      <c r="P641">
        <v>3</v>
      </c>
      <c r="Q641" s="1">
        <v>0</v>
      </c>
    </row>
    <row r="642" spans="1:17">
      <c r="A642" t="s">
        <v>24</v>
      </c>
      <c r="B642" t="s">
        <v>53</v>
      </c>
      <c r="C642" t="s">
        <v>434</v>
      </c>
      <c r="D642" t="s">
        <v>82</v>
      </c>
      <c r="E642" t="s">
        <v>54</v>
      </c>
      <c r="F642" t="s">
        <v>55</v>
      </c>
      <c r="G642" t="s">
        <v>130</v>
      </c>
      <c r="H642">
        <v>2</v>
      </c>
      <c r="I642" t="s">
        <v>21</v>
      </c>
      <c r="J642">
        <v>1.83</v>
      </c>
      <c r="K642">
        <v>2</v>
      </c>
      <c r="L642">
        <v>3.66</v>
      </c>
      <c r="M642">
        <v>27</v>
      </c>
      <c r="N642" s="1">
        <v>7.4099999999999999E-2</v>
      </c>
      <c r="O642">
        <v>1.83</v>
      </c>
      <c r="P642" t="s">
        <v>77</v>
      </c>
      <c r="Q642" s="1">
        <v>1</v>
      </c>
    </row>
    <row r="643" spans="1:17">
      <c r="A643" t="s">
        <v>24</v>
      </c>
      <c r="B643" t="s">
        <v>53</v>
      </c>
      <c r="C643" t="s">
        <v>435</v>
      </c>
      <c r="D643" t="s">
        <v>75</v>
      </c>
      <c r="E643" t="s">
        <v>54</v>
      </c>
      <c r="F643" t="s">
        <v>55</v>
      </c>
      <c r="G643" t="s">
        <v>130</v>
      </c>
      <c r="H643">
        <v>0</v>
      </c>
      <c r="I643" t="s">
        <v>21</v>
      </c>
      <c r="J643">
        <v>0</v>
      </c>
      <c r="K643">
        <v>0</v>
      </c>
      <c r="L643">
        <v>0</v>
      </c>
      <c r="M643">
        <v>0</v>
      </c>
      <c r="N643" t="s">
        <v>77</v>
      </c>
      <c r="O643">
        <v>0</v>
      </c>
      <c r="P643" t="s">
        <v>77</v>
      </c>
      <c r="Q643" s="1">
        <v>0</v>
      </c>
    </row>
    <row r="644" spans="1:17">
      <c r="A644" t="s">
        <v>24</v>
      </c>
      <c r="B644" t="s">
        <v>53</v>
      </c>
      <c r="C644" t="s">
        <v>436</v>
      </c>
      <c r="D644" t="s">
        <v>75</v>
      </c>
      <c r="E644" t="s">
        <v>54</v>
      </c>
      <c r="F644" t="s">
        <v>55</v>
      </c>
      <c r="G644" t="s">
        <v>130</v>
      </c>
      <c r="H644">
        <v>7.67</v>
      </c>
      <c r="I644" t="s">
        <v>21</v>
      </c>
      <c r="J644">
        <v>46.95</v>
      </c>
      <c r="K644">
        <v>133</v>
      </c>
      <c r="L644">
        <v>359.96</v>
      </c>
      <c r="M644" s="10">
        <v>4231</v>
      </c>
      <c r="N644" s="1">
        <v>3.1399999999999997E-2</v>
      </c>
      <c r="O644">
        <v>2.71</v>
      </c>
      <c r="P644" t="s">
        <v>77</v>
      </c>
      <c r="Q644" s="1">
        <v>5.7599999999999998E-2</v>
      </c>
    </row>
    <row r="645" spans="1:17">
      <c r="A645" t="s">
        <v>24</v>
      </c>
      <c r="B645" t="s">
        <v>53</v>
      </c>
      <c r="C645" t="s">
        <v>437</v>
      </c>
      <c r="D645" t="s">
        <v>82</v>
      </c>
      <c r="E645" t="s">
        <v>54</v>
      </c>
      <c r="F645" t="s">
        <v>55</v>
      </c>
      <c r="G645" t="s">
        <v>370</v>
      </c>
      <c r="H645">
        <v>0</v>
      </c>
      <c r="I645" t="s">
        <v>21</v>
      </c>
      <c r="J645">
        <v>0</v>
      </c>
      <c r="K645">
        <v>0</v>
      </c>
      <c r="L645">
        <v>0</v>
      </c>
      <c r="M645">
        <v>0</v>
      </c>
      <c r="N645" t="s">
        <v>77</v>
      </c>
      <c r="O645">
        <v>0</v>
      </c>
      <c r="P645" t="s">
        <v>77</v>
      </c>
      <c r="Q645" s="1">
        <v>0</v>
      </c>
    </row>
    <row r="646" spans="1:17">
      <c r="A646" t="s">
        <v>24</v>
      </c>
      <c r="B646" t="s">
        <v>18</v>
      </c>
      <c r="C646" t="s">
        <v>438</v>
      </c>
      <c r="D646" t="s">
        <v>75</v>
      </c>
      <c r="E646" t="s">
        <v>54</v>
      </c>
      <c r="F646" t="s">
        <v>18</v>
      </c>
      <c r="G646" t="s">
        <v>439</v>
      </c>
      <c r="H646">
        <v>2</v>
      </c>
      <c r="I646" t="s">
        <v>21</v>
      </c>
      <c r="J646">
        <v>55.29</v>
      </c>
      <c r="K646">
        <v>48</v>
      </c>
      <c r="L646">
        <v>110.57</v>
      </c>
      <c r="M646" s="10">
        <v>4176</v>
      </c>
      <c r="N646" s="1">
        <v>1.15E-2</v>
      </c>
      <c r="O646">
        <v>2.2999999999999998</v>
      </c>
      <c r="P646">
        <v>1</v>
      </c>
      <c r="Q646" s="1">
        <v>4.1700000000000001E-2</v>
      </c>
    </row>
    <row r="647" spans="1:17">
      <c r="A647" t="s">
        <v>24</v>
      </c>
      <c r="B647" t="s">
        <v>53</v>
      </c>
      <c r="C647" t="s">
        <v>440</v>
      </c>
      <c r="D647" t="s">
        <v>75</v>
      </c>
      <c r="E647" t="s">
        <v>54</v>
      </c>
      <c r="F647" t="s">
        <v>55</v>
      </c>
      <c r="G647" t="s">
        <v>130</v>
      </c>
      <c r="H647">
        <v>3</v>
      </c>
      <c r="I647" t="s">
        <v>21</v>
      </c>
      <c r="J647">
        <v>27.85</v>
      </c>
      <c r="K647">
        <v>40</v>
      </c>
      <c r="L647">
        <v>83.56</v>
      </c>
      <c r="M647" s="10">
        <v>2204</v>
      </c>
      <c r="N647" s="1">
        <v>1.8100000000000002E-2</v>
      </c>
      <c r="O647">
        <v>2.09</v>
      </c>
      <c r="P647" t="s">
        <v>77</v>
      </c>
      <c r="Q647" s="1">
        <v>7.4999999999999997E-2</v>
      </c>
    </row>
    <row r="648" spans="1:17">
      <c r="A648" t="s">
        <v>24</v>
      </c>
      <c r="B648" t="s">
        <v>53</v>
      </c>
      <c r="C648" t="s">
        <v>441</v>
      </c>
      <c r="D648" t="s">
        <v>75</v>
      </c>
      <c r="E648" t="s">
        <v>54</v>
      </c>
      <c r="F648" t="s">
        <v>55</v>
      </c>
      <c r="G648" t="s">
        <v>130</v>
      </c>
      <c r="H648">
        <v>0</v>
      </c>
      <c r="I648" t="s">
        <v>21</v>
      </c>
      <c r="J648">
        <v>0</v>
      </c>
      <c r="K648">
        <v>5</v>
      </c>
      <c r="L648">
        <v>13.34</v>
      </c>
      <c r="M648">
        <v>44</v>
      </c>
      <c r="N648" s="1">
        <v>0.11360000000000001</v>
      </c>
      <c r="O648">
        <v>2.67</v>
      </c>
      <c r="P648">
        <v>3</v>
      </c>
      <c r="Q648" s="1">
        <v>0</v>
      </c>
    </row>
    <row r="649" spans="1:17">
      <c r="A649" t="s">
        <v>24</v>
      </c>
      <c r="B649" t="s">
        <v>53</v>
      </c>
      <c r="C649" t="s">
        <v>442</v>
      </c>
      <c r="D649" t="s">
        <v>75</v>
      </c>
      <c r="E649" t="s">
        <v>54</v>
      </c>
      <c r="F649" t="s">
        <v>55</v>
      </c>
      <c r="G649" t="s">
        <v>370</v>
      </c>
      <c r="H649">
        <v>0</v>
      </c>
      <c r="I649" t="s">
        <v>21</v>
      </c>
      <c r="J649">
        <v>0</v>
      </c>
      <c r="K649">
        <v>0</v>
      </c>
      <c r="L649">
        <v>0</v>
      </c>
      <c r="M649">
        <v>0</v>
      </c>
      <c r="N649" t="s">
        <v>77</v>
      </c>
      <c r="O649">
        <v>0</v>
      </c>
      <c r="P649" t="s">
        <v>77</v>
      </c>
      <c r="Q649" s="1">
        <v>0</v>
      </c>
    </row>
    <row r="650" spans="1:17">
      <c r="A650" t="s">
        <v>24</v>
      </c>
      <c r="B650" t="s">
        <v>53</v>
      </c>
      <c r="C650" t="s">
        <v>443</v>
      </c>
      <c r="D650" t="s">
        <v>75</v>
      </c>
      <c r="E650" t="s">
        <v>54</v>
      </c>
      <c r="F650" t="s">
        <v>55</v>
      </c>
      <c r="G650" t="s">
        <v>370</v>
      </c>
      <c r="H650">
        <v>0</v>
      </c>
      <c r="I650" t="s">
        <v>21</v>
      </c>
      <c r="J650">
        <v>0</v>
      </c>
      <c r="K650">
        <v>0</v>
      </c>
      <c r="L650">
        <v>0</v>
      </c>
      <c r="M650">
        <v>0</v>
      </c>
      <c r="N650" t="s">
        <v>77</v>
      </c>
      <c r="O650">
        <v>0</v>
      </c>
      <c r="P650" t="s">
        <v>77</v>
      </c>
      <c r="Q650" s="1">
        <v>0</v>
      </c>
    </row>
    <row r="651" spans="1:17">
      <c r="A651" t="s">
        <v>24</v>
      </c>
      <c r="B651" t="s">
        <v>18</v>
      </c>
      <c r="C651" t="s">
        <v>444</v>
      </c>
      <c r="D651" t="s">
        <v>82</v>
      </c>
      <c r="E651" t="s">
        <v>54</v>
      </c>
      <c r="F651" t="s">
        <v>18</v>
      </c>
      <c r="G651" t="s">
        <v>153</v>
      </c>
      <c r="H651">
        <v>3</v>
      </c>
      <c r="I651" t="s">
        <v>21</v>
      </c>
      <c r="J651">
        <v>5.82</v>
      </c>
      <c r="K651">
        <v>7</v>
      </c>
      <c r="L651">
        <v>17.45</v>
      </c>
      <c r="M651">
        <v>426</v>
      </c>
      <c r="N651" s="1">
        <v>1.6400000000000001E-2</v>
      </c>
      <c r="O651">
        <v>2.4900000000000002</v>
      </c>
      <c r="P651" t="s">
        <v>77</v>
      </c>
      <c r="Q651" s="1">
        <v>0.42859999999999998</v>
      </c>
    </row>
    <row r="652" spans="1:17">
      <c r="A652" t="s">
        <v>24</v>
      </c>
      <c r="B652" t="s">
        <v>53</v>
      </c>
      <c r="C652" t="s">
        <v>445</v>
      </c>
      <c r="D652" t="s">
        <v>82</v>
      </c>
      <c r="E652" t="s">
        <v>54</v>
      </c>
      <c r="F652" t="s">
        <v>55</v>
      </c>
      <c r="G652" t="s">
        <v>130</v>
      </c>
      <c r="H652">
        <v>0</v>
      </c>
      <c r="I652" t="s">
        <v>21</v>
      </c>
      <c r="J652">
        <v>0</v>
      </c>
      <c r="K652">
        <v>2</v>
      </c>
      <c r="L652">
        <v>5.39</v>
      </c>
      <c r="M652">
        <v>146</v>
      </c>
      <c r="N652" s="1">
        <v>1.37E-2</v>
      </c>
      <c r="O652">
        <v>2.7</v>
      </c>
      <c r="P652" t="s">
        <v>77</v>
      </c>
      <c r="Q652" s="1">
        <v>0</v>
      </c>
    </row>
    <row r="653" spans="1:17">
      <c r="A653" t="s">
        <v>24</v>
      </c>
      <c r="B653" t="s">
        <v>53</v>
      </c>
      <c r="C653" t="s">
        <v>446</v>
      </c>
      <c r="D653" t="s">
        <v>79</v>
      </c>
      <c r="E653" t="s">
        <v>54</v>
      </c>
      <c r="F653" t="s">
        <v>55</v>
      </c>
      <c r="G653" t="s">
        <v>130</v>
      </c>
      <c r="H653">
        <v>0</v>
      </c>
      <c r="I653" t="s">
        <v>21</v>
      </c>
      <c r="J653">
        <v>0</v>
      </c>
      <c r="K653">
        <v>0</v>
      </c>
      <c r="L653">
        <v>0</v>
      </c>
      <c r="M653">
        <v>1</v>
      </c>
      <c r="N653" s="1">
        <v>0</v>
      </c>
      <c r="O653">
        <v>0</v>
      </c>
      <c r="P653" t="s">
        <v>77</v>
      </c>
      <c r="Q653" s="1">
        <v>0</v>
      </c>
    </row>
    <row r="654" spans="1:17">
      <c r="A654" t="s">
        <v>24</v>
      </c>
      <c r="B654" t="s">
        <v>53</v>
      </c>
      <c r="C654" t="s">
        <v>447</v>
      </c>
      <c r="D654" t="s">
        <v>79</v>
      </c>
      <c r="E654" t="s">
        <v>54</v>
      </c>
      <c r="F654" t="s">
        <v>55</v>
      </c>
      <c r="G654" t="s">
        <v>130</v>
      </c>
      <c r="H654">
        <v>0</v>
      </c>
      <c r="I654" t="s">
        <v>21</v>
      </c>
      <c r="J654">
        <v>0</v>
      </c>
      <c r="K654">
        <v>0</v>
      </c>
      <c r="L654">
        <v>0</v>
      </c>
      <c r="M654">
        <v>0</v>
      </c>
      <c r="N654" t="s">
        <v>77</v>
      </c>
      <c r="O654">
        <v>0</v>
      </c>
      <c r="P654">
        <v>3</v>
      </c>
      <c r="Q654" s="1">
        <v>0</v>
      </c>
    </row>
    <row r="655" spans="1:17">
      <c r="A655" t="s">
        <v>24</v>
      </c>
      <c r="B655" t="s">
        <v>53</v>
      </c>
      <c r="C655" t="s">
        <v>448</v>
      </c>
      <c r="D655" t="s">
        <v>75</v>
      </c>
      <c r="E655" t="s">
        <v>54</v>
      </c>
      <c r="F655" t="s">
        <v>55</v>
      </c>
      <c r="G655" t="s">
        <v>370</v>
      </c>
      <c r="H655">
        <v>0</v>
      </c>
      <c r="I655" t="s">
        <v>21</v>
      </c>
      <c r="J655">
        <v>0</v>
      </c>
      <c r="K655">
        <v>0</v>
      </c>
      <c r="L655">
        <v>0</v>
      </c>
      <c r="M655">
        <v>0</v>
      </c>
      <c r="N655" t="s">
        <v>77</v>
      </c>
      <c r="O655">
        <v>0</v>
      </c>
      <c r="P655" t="s">
        <v>77</v>
      </c>
      <c r="Q655" s="1">
        <v>0</v>
      </c>
    </row>
    <row r="656" spans="1:17">
      <c r="A656" t="s">
        <v>24</v>
      </c>
      <c r="B656" t="s">
        <v>53</v>
      </c>
      <c r="C656" t="s">
        <v>449</v>
      </c>
      <c r="D656" t="s">
        <v>79</v>
      </c>
      <c r="E656" t="s">
        <v>54</v>
      </c>
      <c r="F656" t="s">
        <v>55</v>
      </c>
      <c r="G656" t="s">
        <v>370</v>
      </c>
      <c r="H656">
        <v>0</v>
      </c>
      <c r="I656" t="s">
        <v>21</v>
      </c>
      <c r="J656">
        <v>0</v>
      </c>
      <c r="K656">
        <v>0</v>
      </c>
      <c r="L656">
        <v>0</v>
      </c>
      <c r="M656">
        <v>0</v>
      </c>
      <c r="N656" t="s">
        <v>77</v>
      </c>
      <c r="O656">
        <v>0</v>
      </c>
      <c r="P656" t="s">
        <v>77</v>
      </c>
      <c r="Q656" s="1">
        <v>0</v>
      </c>
    </row>
    <row r="657" spans="1:17">
      <c r="A657" t="s">
        <v>24</v>
      </c>
      <c r="B657" t="s">
        <v>18</v>
      </c>
      <c r="C657" t="s">
        <v>450</v>
      </c>
      <c r="D657" t="s">
        <v>75</v>
      </c>
      <c r="E657" t="s">
        <v>54</v>
      </c>
      <c r="F657" t="s">
        <v>18</v>
      </c>
      <c r="G657" t="s">
        <v>153</v>
      </c>
      <c r="H657">
        <v>0</v>
      </c>
      <c r="I657" t="s">
        <v>21</v>
      </c>
      <c r="J657">
        <v>0</v>
      </c>
      <c r="K657">
        <v>9</v>
      </c>
      <c r="L657">
        <v>37.369999999999997</v>
      </c>
      <c r="M657">
        <v>364</v>
      </c>
      <c r="N657" s="1">
        <v>2.47E-2</v>
      </c>
      <c r="O657">
        <v>4.1500000000000004</v>
      </c>
      <c r="P657" t="s">
        <v>77</v>
      </c>
      <c r="Q657" s="1">
        <v>0</v>
      </c>
    </row>
    <row r="658" spans="1:17">
      <c r="A658" t="s">
        <v>24</v>
      </c>
      <c r="B658" t="s">
        <v>53</v>
      </c>
      <c r="C658" t="s">
        <v>451</v>
      </c>
      <c r="D658" t="s">
        <v>82</v>
      </c>
      <c r="E658" t="s">
        <v>54</v>
      </c>
      <c r="F658" t="s">
        <v>55</v>
      </c>
      <c r="G658" t="s">
        <v>370</v>
      </c>
      <c r="H658">
        <v>0</v>
      </c>
      <c r="I658" t="s">
        <v>21</v>
      </c>
      <c r="J658">
        <v>0</v>
      </c>
      <c r="K658">
        <v>0</v>
      </c>
      <c r="L658">
        <v>0</v>
      </c>
      <c r="M658">
        <v>0</v>
      </c>
      <c r="N658" t="s">
        <v>77</v>
      </c>
      <c r="O658">
        <v>0</v>
      </c>
      <c r="P658" t="s">
        <v>77</v>
      </c>
      <c r="Q658" s="1">
        <v>0</v>
      </c>
    </row>
    <row r="659" spans="1:17">
      <c r="A659" t="s">
        <v>24</v>
      </c>
      <c r="B659" t="s">
        <v>18</v>
      </c>
      <c r="C659" t="s">
        <v>452</v>
      </c>
      <c r="D659" t="s">
        <v>82</v>
      </c>
      <c r="E659" t="s">
        <v>54</v>
      </c>
      <c r="F659" t="s">
        <v>18</v>
      </c>
      <c r="G659" t="s">
        <v>439</v>
      </c>
      <c r="H659">
        <v>0</v>
      </c>
      <c r="I659" t="s">
        <v>21</v>
      </c>
      <c r="J659">
        <v>0</v>
      </c>
      <c r="K659">
        <v>0</v>
      </c>
      <c r="L659">
        <v>0</v>
      </c>
      <c r="M659">
        <v>23</v>
      </c>
      <c r="N659" s="1">
        <v>0</v>
      </c>
      <c r="O659">
        <v>0</v>
      </c>
      <c r="P659">
        <v>1</v>
      </c>
      <c r="Q659" s="1">
        <v>0</v>
      </c>
    </row>
    <row r="660" spans="1:17">
      <c r="A660" t="s">
        <v>24</v>
      </c>
      <c r="B660" t="s">
        <v>53</v>
      </c>
      <c r="C660" t="s">
        <v>453</v>
      </c>
      <c r="D660" t="s">
        <v>79</v>
      </c>
      <c r="E660" t="s">
        <v>54</v>
      </c>
      <c r="F660" t="s">
        <v>55</v>
      </c>
      <c r="G660" t="s">
        <v>130</v>
      </c>
      <c r="H660">
        <v>0</v>
      </c>
      <c r="I660" t="s">
        <v>21</v>
      </c>
      <c r="J660">
        <v>0</v>
      </c>
      <c r="K660">
        <v>0</v>
      </c>
      <c r="L660">
        <v>0</v>
      </c>
      <c r="M660">
        <v>42</v>
      </c>
      <c r="N660" s="1">
        <v>0</v>
      </c>
      <c r="O660">
        <v>0</v>
      </c>
      <c r="P660" t="s">
        <v>77</v>
      </c>
      <c r="Q660" s="1">
        <v>0</v>
      </c>
    </row>
    <row r="661" spans="1:17">
      <c r="A661" t="s">
        <v>24</v>
      </c>
      <c r="B661" t="s">
        <v>18</v>
      </c>
      <c r="C661" t="s">
        <v>454</v>
      </c>
      <c r="D661" t="s">
        <v>75</v>
      </c>
      <c r="E661" t="s">
        <v>54</v>
      </c>
      <c r="F661" t="s">
        <v>18</v>
      </c>
      <c r="G661" t="s">
        <v>153</v>
      </c>
      <c r="H661">
        <v>1</v>
      </c>
      <c r="I661" t="s">
        <v>21</v>
      </c>
      <c r="J661">
        <v>62.92</v>
      </c>
      <c r="K661">
        <v>32</v>
      </c>
      <c r="L661">
        <v>62.92</v>
      </c>
      <c r="M661" s="10">
        <v>1984</v>
      </c>
      <c r="N661" s="1">
        <v>1.61E-2</v>
      </c>
      <c r="O661">
        <v>1.97</v>
      </c>
      <c r="P661" t="s">
        <v>77</v>
      </c>
      <c r="Q661" s="1">
        <v>3.1300000000000001E-2</v>
      </c>
    </row>
    <row r="662" spans="1:17">
      <c r="A662" t="s">
        <v>24</v>
      </c>
      <c r="B662" t="s">
        <v>53</v>
      </c>
      <c r="C662" t="s">
        <v>455</v>
      </c>
      <c r="D662" t="s">
        <v>79</v>
      </c>
      <c r="E662" t="s">
        <v>54</v>
      </c>
      <c r="F662" t="s">
        <v>55</v>
      </c>
      <c r="G662" t="s">
        <v>130</v>
      </c>
      <c r="H662">
        <v>0</v>
      </c>
      <c r="I662" t="s">
        <v>21</v>
      </c>
      <c r="J662">
        <v>0</v>
      </c>
      <c r="K662">
        <v>0</v>
      </c>
      <c r="L662">
        <v>0</v>
      </c>
      <c r="M662">
        <v>11</v>
      </c>
      <c r="N662" s="1">
        <v>0</v>
      </c>
      <c r="O662">
        <v>0</v>
      </c>
      <c r="P662" t="s">
        <v>77</v>
      </c>
      <c r="Q662" s="1">
        <v>0</v>
      </c>
    </row>
    <row r="663" spans="1:17">
      <c r="A663" t="s">
        <v>24</v>
      </c>
      <c r="B663" t="s">
        <v>18</v>
      </c>
      <c r="C663" t="s">
        <v>456</v>
      </c>
      <c r="D663" t="s">
        <v>79</v>
      </c>
      <c r="E663" t="s">
        <v>54</v>
      </c>
      <c r="F663" t="s">
        <v>18</v>
      </c>
      <c r="G663" t="s">
        <v>439</v>
      </c>
      <c r="H663">
        <v>0</v>
      </c>
      <c r="I663" t="s">
        <v>21</v>
      </c>
      <c r="J663">
        <v>0</v>
      </c>
      <c r="K663">
        <v>0</v>
      </c>
      <c r="L663">
        <v>0</v>
      </c>
      <c r="M663">
        <v>1</v>
      </c>
      <c r="N663" s="1">
        <v>0</v>
      </c>
      <c r="O663">
        <v>0</v>
      </c>
      <c r="P663">
        <v>1</v>
      </c>
      <c r="Q663" s="1">
        <v>0</v>
      </c>
    </row>
    <row r="664" spans="1:17">
      <c r="A664" t="s">
        <v>24</v>
      </c>
      <c r="B664" t="s">
        <v>53</v>
      </c>
      <c r="C664" t="s">
        <v>457</v>
      </c>
      <c r="D664" t="s">
        <v>79</v>
      </c>
      <c r="E664" t="s">
        <v>54</v>
      </c>
      <c r="F664" t="s">
        <v>55</v>
      </c>
      <c r="G664" t="s">
        <v>370</v>
      </c>
      <c r="H664">
        <v>0</v>
      </c>
      <c r="I664" t="s">
        <v>21</v>
      </c>
      <c r="J664">
        <v>0</v>
      </c>
      <c r="K664">
        <v>0</v>
      </c>
      <c r="L664">
        <v>0</v>
      </c>
      <c r="M664">
        <v>0</v>
      </c>
      <c r="N664" t="s">
        <v>77</v>
      </c>
      <c r="O664">
        <v>0</v>
      </c>
      <c r="P664" t="s">
        <v>77</v>
      </c>
      <c r="Q664" s="1">
        <v>0</v>
      </c>
    </row>
    <row r="665" spans="1:17">
      <c r="A665" t="s">
        <v>24</v>
      </c>
      <c r="B665" t="s">
        <v>53</v>
      </c>
      <c r="C665" t="s">
        <v>458</v>
      </c>
      <c r="D665" t="s">
        <v>79</v>
      </c>
      <c r="E665" t="s">
        <v>54</v>
      </c>
      <c r="F665" t="s">
        <v>55</v>
      </c>
      <c r="G665" t="s">
        <v>370</v>
      </c>
      <c r="H665">
        <v>0</v>
      </c>
      <c r="I665" t="s">
        <v>21</v>
      </c>
      <c r="J665">
        <v>0</v>
      </c>
      <c r="K665">
        <v>0</v>
      </c>
      <c r="L665">
        <v>0</v>
      </c>
      <c r="M665">
        <v>0</v>
      </c>
      <c r="N665" t="s">
        <v>77</v>
      </c>
      <c r="O665">
        <v>0</v>
      </c>
      <c r="P665" t="s">
        <v>77</v>
      </c>
      <c r="Q665" s="1">
        <v>0</v>
      </c>
    </row>
    <row r="666" spans="1:17">
      <c r="A666" t="s">
        <v>24</v>
      </c>
      <c r="B666" t="s">
        <v>53</v>
      </c>
      <c r="C666" t="s">
        <v>459</v>
      </c>
      <c r="D666" t="s">
        <v>82</v>
      </c>
      <c r="E666" t="s">
        <v>60</v>
      </c>
      <c r="F666" t="s">
        <v>55</v>
      </c>
      <c r="G666" t="s">
        <v>80</v>
      </c>
      <c r="H666">
        <v>0</v>
      </c>
      <c r="I666" t="s">
        <v>21</v>
      </c>
      <c r="J666">
        <v>0</v>
      </c>
      <c r="K666">
        <v>0</v>
      </c>
      <c r="L666">
        <v>0</v>
      </c>
      <c r="M666">
        <v>0</v>
      </c>
      <c r="N666" t="s">
        <v>77</v>
      </c>
      <c r="O666">
        <v>0</v>
      </c>
      <c r="P666" t="s">
        <v>77</v>
      </c>
      <c r="Q666" s="1">
        <v>0</v>
      </c>
    </row>
    <row r="667" spans="1:17">
      <c r="A667" t="s">
        <v>24</v>
      </c>
      <c r="B667" t="s">
        <v>53</v>
      </c>
      <c r="C667" t="s">
        <v>460</v>
      </c>
      <c r="D667" t="s">
        <v>82</v>
      </c>
      <c r="E667" t="s">
        <v>60</v>
      </c>
      <c r="F667" t="s">
        <v>55</v>
      </c>
      <c r="G667" t="s">
        <v>80</v>
      </c>
      <c r="H667">
        <v>0</v>
      </c>
      <c r="I667" t="s">
        <v>21</v>
      </c>
      <c r="J667">
        <v>0</v>
      </c>
      <c r="K667">
        <v>0</v>
      </c>
      <c r="L667">
        <v>0</v>
      </c>
      <c r="M667">
        <v>0</v>
      </c>
      <c r="N667" t="s">
        <v>77</v>
      </c>
      <c r="O667">
        <v>0</v>
      </c>
      <c r="P667" t="s">
        <v>77</v>
      </c>
      <c r="Q667" s="1">
        <v>0</v>
      </c>
    </row>
    <row r="668" spans="1:17">
      <c r="A668" t="s">
        <v>24</v>
      </c>
      <c r="B668" t="s">
        <v>53</v>
      </c>
      <c r="C668" t="s">
        <v>461</v>
      </c>
      <c r="D668" t="s">
        <v>82</v>
      </c>
      <c r="E668" t="s">
        <v>60</v>
      </c>
      <c r="F668" t="s">
        <v>55</v>
      </c>
      <c r="G668" t="s">
        <v>76</v>
      </c>
      <c r="H668">
        <v>0</v>
      </c>
      <c r="I668" t="s">
        <v>21</v>
      </c>
      <c r="J668">
        <v>0</v>
      </c>
      <c r="K668">
        <v>0</v>
      </c>
      <c r="L668">
        <v>0</v>
      </c>
      <c r="M668">
        <v>0</v>
      </c>
      <c r="N668" t="s">
        <v>77</v>
      </c>
      <c r="O668">
        <v>0</v>
      </c>
      <c r="P668" t="s">
        <v>77</v>
      </c>
      <c r="Q668" s="1">
        <v>0</v>
      </c>
    </row>
    <row r="669" spans="1:17">
      <c r="A669" t="s">
        <v>24</v>
      </c>
      <c r="B669" t="s">
        <v>53</v>
      </c>
      <c r="C669" t="s">
        <v>462</v>
      </c>
      <c r="D669" t="s">
        <v>75</v>
      </c>
      <c r="E669" t="s">
        <v>60</v>
      </c>
      <c r="F669" t="s">
        <v>55</v>
      </c>
      <c r="G669" t="s">
        <v>80</v>
      </c>
      <c r="H669">
        <v>0</v>
      </c>
      <c r="I669" t="s">
        <v>21</v>
      </c>
      <c r="J669">
        <v>0</v>
      </c>
      <c r="K669">
        <v>0</v>
      </c>
      <c r="L669">
        <v>0</v>
      </c>
      <c r="M669">
        <v>0</v>
      </c>
      <c r="N669" t="s">
        <v>77</v>
      </c>
      <c r="O669">
        <v>0</v>
      </c>
      <c r="P669" t="s">
        <v>77</v>
      </c>
      <c r="Q669" s="1">
        <v>0</v>
      </c>
    </row>
    <row r="670" spans="1:17">
      <c r="A670" t="s">
        <v>24</v>
      </c>
      <c r="B670" t="s">
        <v>53</v>
      </c>
      <c r="C670" t="s">
        <v>463</v>
      </c>
      <c r="D670" t="s">
        <v>79</v>
      </c>
      <c r="E670" t="s">
        <v>60</v>
      </c>
      <c r="F670" t="s">
        <v>55</v>
      </c>
      <c r="G670" t="s">
        <v>80</v>
      </c>
      <c r="H670">
        <v>0</v>
      </c>
      <c r="I670" t="s">
        <v>21</v>
      </c>
      <c r="J670">
        <v>0</v>
      </c>
      <c r="K670">
        <v>0</v>
      </c>
      <c r="L670">
        <v>0</v>
      </c>
      <c r="M670">
        <v>0</v>
      </c>
      <c r="N670" t="s">
        <v>77</v>
      </c>
      <c r="O670">
        <v>0</v>
      </c>
      <c r="P670" t="s">
        <v>77</v>
      </c>
      <c r="Q670" s="1">
        <v>0</v>
      </c>
    </row>
    <row r="671" spans="1:17">
      <c r="A671" t="s">
        <v>24</v>
      </c>
      <c r="B671" t="s">
        <v>53</v>
      </c>
      <c r="C671" t="s">
        <v>464</v>
      </c>
      <c r="D671" t="s">
        <v>79</v>
      </c>
      <c r="E671" t="s">
        <v>60</v>
      </c>
      <c r="F671" t="s">
        <v>55</v>
      </c>
      <c r="G671" t="s">
        <v>80</v>
      </c>
      <c r="H671">
        <v>0</v>
      </c>
      <c r="I671" t="s">
        <v>21</v>
      </c>
      <c r="J671">
        <v>0</v>
      </c>
      <c r="K671">
        <v>0</v>
      </c>
      <c r="L671">
        <v>0</v>
      </c>
      <c r="M671">
        <v>0</v>
      </c>
      <c r="N671" t="s">
        <v>77</v>
      </c>
      <c r="O671">
        <v>0</v>
      </c>
      <c r="P671" t="s">
        <v>77</v>
      </c>
      <c r="Q671" s="1">
        <v>0</v>
      </c>
    </row>
    <row r="672" spans="1:17">
      <c r="A672" t="s">
        <v>24</v>
      </c>
      <c r="B672" t="s">
        <v>53</v>
      </c>
      <c r="C672" t="s">
        <v>465</v>
      </c>
      <c r="D672" t="s">
        <v>79</v>
      </c>
      <c r="E672" t="s">
        <v>60</v>
      </c>
      <c r="F672" t="s">
        <v>55</v>
      </c>
      <c r="G672" t="s">
        <v>80</v>
      </c>
      <c r="H672">
        <v>0</v>
      </c>
      <c r="I672" t="s">
        <v>21</v>
      </c>
      <c r="J672">
        <v>0</v>
      </c>
      <c r="K672">
        <v>0</v>
      </c>
      <c r="L672">
        <v>0</v>
      </c>
      <c r="M672">
        <v>0</v>
      </c>
      <c r="N672" t="s">
        <v>77</v>
      </c>
      <c r="O672">
        <v>0</v>
      </c>
      <c r="P672" t="s">
        <v>77</v>
      </c>
      <c r="Q672" s="1">
        <v>0</v>
      </c>
    </row>
    <row r="673" spans="1:17">
      <c r="A673" t="s">
        <v>24</v>
      </c>
      <c r="B673" t="s">
        <v>53</v>
      </c>
      <c r="C673" t="s">
        <v>466</v>
      </c>
      <c r="D673" t="s">
        <v>75</v>
      </c>
      <c r="E673" t="s">
        <v>60</v>
      </c>
      <c r="F673" t="s">
        <v>55</v>
      </c>
      <c r="G673" t="s">
        <v>76</v>
      </c>
      <c r="H673">
        <v>0</v>
      </c>
      <c r="I673" t="s">
        <v>21</v>
      </c>
      <c r="J673">
        <v>0</v>
      </c>
      <c r="K673">
        <v>0</v>
      </c>
      <c r="L673">
        <v>0</v>
      </c>
      <c r="M673">
        <v>0</v>
      </c>
      <c r="N673" t="s">
        <v>77</v>
      </c>
      <c r="O673">
        <v>0</v>
      </c>
      <c r="P673" t="s">
        <v>77</v>
      </c>
      <c r="Q673" s="1">
        <v>0</v>
      </c>
    </row>
    <row r="674" spans="1:17">
      <c r="A674" t="s">
        <v>24</v>
      </c>
      <c r="B674" t="s">
        <v>53</v>
      </c>
      <c r="C674" t="s">
        <v>467</v>
      </c>
      <c r="D674" t="s">
        <v>75</v>
      </c>
      <c r="E674" t="s">
        <v>60</v>
      </c>
      <c r="F674" t="s">
        <v>55</v>
      </c>
      <c r="G674" t="s">
        <v>76</v>
      </c>
      <c r="H674">
        <v>0</v>
      </c>
      <c r="I674" t="s">
        <v>21</v>
      </c>
      <c r="J674">
        <v>0</v>
      </c>
      <c r="K674">
        <v>0</v>
      </c>
      <c r="L674">
        <v>0</v>
      </c>
      <c r="M674">
        <v>0</v>
      </c>
      <c r="N674" t="s">
        <v>77</v>
      </c>
      <c r="O674">
        <v>0</v>
      </c>
      <c r="P674" t="s">
        <v>77</v>
      </c>
      <c r="Q674" s="1">
        <v>0</v>
      </c>
    </row>
    <row r="675" spans="1:17">
      <c r="A675" t="s">
        <v>24</v>
      </c>
      <c r="B675" t="s">
        <v>53</v>
      </c>
      <c r="C675" t="s">
        <v>468</v>
      </c>
      <c r="D675" t="s">
        <v>75</v>
      </c>
      <c r="E675" t="s">
        <v>60</v>
      </c>
      <c r="F675" t="s">
        <v>55</v>
      </c>
      <c r="G675" t="s">
        <v>76</v>
      </c>
      <c r="H675">
        <v>0</v>
      </c>
      <c r="I675" t="s">
        <v>21</v>
      </c>
      <c r="J675">
        <v>0</v>
      </c>
      <c r="K675">
        <v>0</v>
      </c>
      <c r="L675">
        <v>0</v>
      </c>
      <c r="M675">
        <v>0</v>
      </c>
      <c r="N675" t="s">
        <v>77</v>
      </c>
      <c r="O675">
        <v>0</v>
      </c>
      <c r="P675" t="s">
        <v>77</v>
      </c>
      <c r="Q675" s="1">
        <v>0</v>
      </c>
    </row>
    <row r="676" spans="1:17">
      <c r="A676" t="s">
        <v>24</v>
      </c>
      <c r="B676" t="s">
        <v>53</v>
      </c>
      <c r="C676" t="s">
        <v>469</v>
      </c>
      <c r="D676" t="s">
        <v>82</v>
      </c>
      <c r="E676" t="s">
        <v>60</v>
      </c>
      <c r="F676" t="s">
        <v>55</v>
      </c>
      <c r="G676" t="s">
        <v>76</v>
      </c>
      <c r="H676">
        <v>0</v>
      </c>
      <c r="I676" t="s">
        <v>21</v>
      </c>
      <c r="J676">
        <v>0</v>
      </c>
      <c r="K676">
        <v>0</v>
      </c>
      <c r="L676">
        <v>0</v>
      </c>
      <c r="M676">
        <v>0</v>
      </c>
      <c r="N676" t="s">
        <v>77</v>
      </c>
      <c r="O676">
        <v>0</v>
      </c>
      <c r="P676" t="s">
        <v>77</v>
      </c>
      <c r="Q676" s="1">
        <v>0</v>
      </c>
    </row>
    <row r="677" spans="1:17">
      <c r="A677" t="s">
        <v>24</v>
      </c>
      <c r="B677" t="s">
        <v>53</v>
      </c>
      <c r="C677" t="s">
        <v>470</v>
      </c>
      <c r="D677" t="s">
        <v>75</v>
      </c>
      <c r="E677" t="s">
        <v>60</v>
      </c>
      <c r="F677" t="s">
        <v>55</v>
      </c>
      <c r="G677" t="s">
        <v>76</v>
      </c>
      <c r="H677">
        <v>0</v>
      </c>
      <c r="I677" t="s">
        <v>21</v>
      </c>
      <c r="J677">
        <v>0</v>
      </c>
      <c r="K677">
        <v>0</v>
      </c>
      <c r="L677">
        <v>0</v>
      </c>
      <c r="M677">
        <v>0</v>
      </c>
      <c r="N677" t="s">
        <v>77</v>
      </c>
      <c r="O677">
        <v>0</v>
      </c>
      <c r="P677" t="s">
        <v>77</v>
      </c>
      <c r="Q677" s="1">
        <v>0</v>
      </c>
    </row>
    <row r="678" spans="1:17">
      <c r="A678" t="s">
        <v>24</v>
      </c>
      <c r="B678" t="s">
        <v>53</v>
      </c>
      <c r="C678" t="s">
        <v>471</v>
      </c>
      <c r="D678" t="s">
        <v>75</v>
      </c>
      <c r="E678" t="s">
        <v>60</v>
      </c>
      <c r="F678" t="s">
        <v>55</v>
      </c>
      <c r="G678" t="s">
        <v>80</v>
      </c>
      <c r="H678">
        <v>0</v>
      </c>
      <c r="I678" t="s">
        <v>21</v>
      </c>
      <c r="J678">
        <v>0</v>
      </c>
      <c r="K678">
        <v>0</v>
      </c>
      <c r="L678">
        <v>0</v>
      </c>
      <c r="M678">
        <v>0</v>
      </c>
      <c r="N678" t="s">
        <v>77</v>
      </c>
      <c r="O678">
        <v>0</v>
      </c>
      <c r="P678" t="s">
        <v>77</v>
      </c>
      <c r="Q678" s="1">
        <v>0</v>
      </c>
    </row>
    <row r="679" spans="1:17">
      <c r="A679" t="s">
        <v>24</v>
      </c>
      <c r="B679" t="s">
        <v>53</v>
      </c>
      <c r="C679" t="s">
        <v>472</v>
      </c>
      <c r="D679" t="s">
        <v>79</v>
      </c>
      <c r="E679" t="s">
        <v>60</v>
      </c>
      <c r="F679" t="s">
        <v>55</v>
      </c>
      <c r="G679" t="s">
        <v>76</v>
      </c>
      <c r="H679">
        <v>0</v>
      </c>
      <c r="I679" t="s">
        <v>21</v>
      </c>
      <c r="J679">
        <v>0</v>
      </c>
      <c r="K679">
        <v>0</v>
      </c>
      <c r="L679">
        <v>0</v>
      </c>
      <c r="M679">
        <v>0</v>
      </c>
      <c r="N679" t="s">
        <v>77</v>
      </c>
      <c r="O679">
        <v>0</v>
      </c>
      <c r="P679" t="s">
        <v>77</v>
      </c>
      <c r="Q679" s="1">
        <v>0</v>
      </c>
    </row>
    <row r="680" spans="1:17">
      <c r="A680" t="s">
        <v>24</v>
      </c>
      <c r="B680" t="s">
        <v>53</v>
      </c>
      <c r="C680" t="s">
        <v>473</v>
      </c>
      <c r="D680" t="s">
        <v>75</v>
      </c>
      <c r="E680" t="s">
        <v>60</v>
      </c>
      <c r="F680" t="s">
        <v>55</v>
      </c>
      <c r="G680" t="s">
        <v>80</v>
      </c>
      <c r="H680">
        <v>0</v>
      </c>
      <c r="I680" t="s">
        <v>21</v>
      </c>
      <c r="J680">
        <v>0</v>
      </c>
      <c r="K680">
        <v>0</v>
      </c>
      <c r="L680">
        <v>0</v>
      </c>
      <c r="M680">
        <v>0</v>
      </c>
      <c r="N680" t="s">
        <v>77</v>
      </c>
      <c r="O680">
        <v>0</v>
      </c>
      <c r="P680" t="s">
        <v>77</v>
      </c>
      <c r="Q680" s="1">
        <v>0</v>
      </c>
    </row>
    <row r="681" spans="1:17">
      <c r="A681" t="s">
        <v>24</v>
      </c>
      <c r="B681" t="s">
        <v>53</v>
      </c>
      <c r="C681" t="s">
        <v>474</v>
      </c>
      <c r="D681" t="s">
        <v>79</v>
      </c>
      <c r="E681" t="s">
        <v>60</v>
      </c>
      <c r="F681" t="s">
        <v>55</v>
      </c>
      <c r="G681" t="s">
        <v>76</v>
      </c>
      <c r="H681">
        <v>0</v>
      </c>
      <c r="I681" t="s">
        <v>21</v>
      </c>
      <c r="J681">
        <v>0</v>
      </c>
      <c r="K681">
        <v>0</v>
      </c>
      <c r="L681">
        <v>0</v>
      </c>
      <c r="M681">
        <v>0</v>
      </c>
      <c r="N681" t="s">
        <v>77</v>
      </c>
      <c r="O681">
        <v>0</v>
      </c>
      <c r="P681" t="s">
        <v>77</v>
      </c>
      <c r="Q681" s="1">
        <v>0</v>
      </c>
    </row>
    <row r="682" spans="1:17">
      <c r="A682" t="s">
        <v>24</v>
      </c>
      <c r="B682" t="s">
        <v>53</v>
      </c>
      <c r="C682" t="s">
        <v>475</v>
      </c>
      <c r="D682" t="s">
        <v>79</v>
      </c>
      <c r="E682" t="s">
        <v>60</v>
      </c>
      <c r="F682" t="s">
        <v>55</v>
      </c>
      <c r="G682" t="s">
        <v>80</v>
      </c>
      <c r="H682">
        <v>0</v>
      </c>
      <c r="I682" t="s">
        <v>21</v>
      </c>
      <c r="J682">
        <v>0</v>
      </c>
      <c r="K682">
        <v>0</v>
      </c>
      <c r="L682">
        <v>0</v>
      </c>
      <c r="M682">
        <v>0</v>
      </c>
      <c r="N682" t="s">
        <v>77</v>
      </c>
      <c r="O682">
        <v>0</v>
      </c>
      <c r="P682" t="s">
        <v>77</v>
      </c>
      <c r="Q682" s="1">
        <v>0</v>
      </c>
    </row>
    <row r="683" spans="1:17">
      <c r="A683" t="s">
        <v>24</v>
      </c>
      <c r="B683" t="s">
        <v>53</v>
      </c>
      <c r="C683" t="s">
        <v>476</v>
      </c>
      <c r="D683" t="s">
        <v>82</v>
      </c>
      <c r="E683" t="s">
        <v>60</v>
      </c>
      <c r="F683" t="s">
        <v>55</v>
      </c>
      <c r="G683" t="s">
        <v>76</v>
      </c>
      <c r="H683">
        <v>0</v>
      </c>
      <c r="I683" t="s">
        <v>21</v>
      </c>
      <c r="J683">
        <v>0</v>
      </c>
      <c r="K683">
        <v>0</v>
      </c>
      <c r="L683">
        <v>0</v>
      </c>
      <c r="M683">
        <v>0</v>
      </c>
      <c r="N683" t="s">
        <v>77</v>
      </c>
      <c r="O683">
        <v>0</v>
      </c>
      <c r="P683" t="s">
        <v>77</v>
      </c>
      <c r="Q683" s="1">
        <v>0</v>
      </c>
    </row>
    <row r="684" spans="1:17">
      <c r="A684" t="s">
        <v>24</v>
      </c>
      <c r="B684" t="s">
        <v>53</v>
      </c>
      <c r="C684" t="s">
        <v>477</v>
      </c>
      <c r="D684" t="s">
        <v>75</v>
      </c>
      <c r="E684" t="s">
        <v>60</v>
      </c>
      <c r="F684" t="s">
        <v>55</v>
      </c>
      <c r="G684" t="s">
        <v>80</v>
      </c>
      <c r="H684">
        <v>0</v>
      </c>
      <c r="I684" t="s">
        <v>21</v>
      </c>
      <c r="J684">
        <v>0</v>
      </c>
      <c r="K684">
        <v>0</v>
      </c>
      <c r="L684">
        <v>0</v>
      </c>
      <c r="M684">
        <v>0</v>
      </c>
      <c r="N684" t="s">
        <v>77</v>
      </c>
      <c r="O684">
        <v>0</v>
      </c>
      <c r="P684" t="s">
        <v>77</v>
      </c>
      <c r="Q684" s="1">
        <v>0</v>
      </c>
    </row>
    <row r="685" spans="1:17">
      <c r="A685" t="s">
        <v>24</v>
      </c>
      <c r="B685" t="s">
        <v>53</v>
      </c>
      <c r="C685" t="s">
        <v>478</v>
      </c>
      <c r="D685" t="s">
        <v>82</v>
      </c>
      <c r="E685" t="s">
        <v>60</v>
      </c>
      <c r="F685" t="s">
        <v>55</v>
      </c>
      <c r="G685" t="s">
        <v>76</v>
      </c>
      <c r="H685">
        <v>0</v>
      </c>
      <c r="I685" t="s">
        <v>21</v>
      </c>
      <c r="J685">
        <v>0</v>
      </c>
      <c r="K685">
        <v>0</v>
      </c>
      <c r="L685">
        <v>0</v>
      </c>
      <c r="M685">
        <v>0</v>
      </c>
      <c r="N685" t="s">
        <v>77</v>
      </c>
      <c r="O685">
        <v>0</v>
      </c>
      <c r="P685" t="s">
        <v>77</v>
      </c>
      <c r="Q685" s="1">
        <v>0</v>
      </c>
    </row>
    <row r="686" spans="1:17">
      <c r="A686" t="s">
        <v>24</v>
      </c>
      <c r="B686" t="s">
        <v>53</v>
      </c>
      <c r="C686" t="s">
        <v>479</v>
      </c>
      <c r="D686" t="s">
        <v>79</v>
      </c>
      <c r="E686" t="s">
        <v>60</v>
      </c>
      <c r="F686" t="s">
        <v>55</v>
      </c>
      <c r="G686" t="s">
        <v>76</v>
      </c>
      <c r="H686">
        <v>0</v>
      </c>
      <c r="I686" t="s">
        <v>21</v>
      </c>
      <c r="J686">
        <v>0</v>
      </c>
      <c r="K686">
        <v>0</v>
      </c>
      <c r="L686">
        <v>0</v>
      </c>
      <c r="M686">
        <v>0</v>
      </c>
      <c r="N686" t="s">
        <v>77</v>
      </c>
      <c r="O686">
        <v>0</v>
      </c>
      <c r="P686" t="s">
        <v>77</v>
      </c>
      <c r="Q686" s="1">
        <v>0</v>
      </c>
    </row>
    <row r="687" spans="1:17">
      <c r="A687" t="s">
        <v>24</v>
      </c>
      <c r="B687" t="s">
        <v>53</v>
      </c>
      <c r="C687" t="s">
        <v>480</v>
      </c>
      <c r="D687" t="s">
        <v>75</v>
      </c>
      <c r="E687" t="s">
        <v>60</v>
      </c>
      <c r="F687" t="s">
        <v>55</v>
      </c>
      <c r="G687" t="s">
        <v>76</v>
      </c>
      <c r="H687">
        <v>0</v>
      </c>
      <c r="I687" t="s">
        <v>21</v>
      </c>
      <c r="J687">
        <v>0</v>
      </c>
      <c r="K687">
        <v>0</v>
      </c>
      <c r="L687">
        <v>0</v>
      </c>
      <c r="M687">
        <v>0</v>
      </c>
      <c r="N687" t="s">
        <v>77</v>
      </c>
      <c r="O687">
        <v>0</v>
      </c>
      <c r="P687" t="s">
        <v>77</v>
      </c>
      <c r="Q687" s="1">
        <v>0</v>
      </c>
    </row>
    <row r="688" spans="1:17">
      <c r="A688" t="s">
        <v>24</v>
      </c>
      <c r="B688" t="s">
        <v>53</v>
      </c>
      <c r="C688" t="s">
        <v>481</v>
      </c>
      <c r="D688" t="s">
        <v>82</v>
      </c>
      <c r="E688" t="s">
        <v>60</v>
      </c>
      <c r="F688" t="s">
        <v>55</v>
      </c>
      <c r="G688" t="s">
        <v>80</v>
      </c>
      <c r="H688">
        <v>0</v>
      </c>
      <c r="I688" t="s">
        <v>21</v>
      </c>
      <c r="J688">
        <v>0</v>
      </c>
      <c r="K688">
        <v>0</v>
      </c>
      <c r="L688">
        <v>0</v>
      </c>
      <c r="M688">
        <v>0</v>
      </c>
      <c r="N688" t="s">
        <v>77</v>
      </c>
      <c r="O688">
        <v>0</v>
      </c>
      <c r="P688" t="s">
        <v>77</v>
      </c>
      <c r="Q688" s="1">
        <v>0</v>
      </c>
    </row>
    <row r="689" spans="1:17">
      <c r="A689" t="s">
        <v>24</v>
      </c>
      <c r="B689" t="s">
        <v>53</v>
      </c>
      <c r="C689" t="s">
        <v>482</v>
      </c>
      <c r="D689" t="s">
        <v>79</v>
      </c>
      <c r="E689" t="s">
        <v>60</v>
      </c>
      <c r="F689" t="s">
        <v>55</v>
      </c>
      <c r="G689" t="s">
        <v>76</v>
      </c>
      <c r="H689">
        <v>0</v>
      </c>
      <c r="I689" t="s">
        <v>21</v>
      </c>
      <c r="J689">
        <v>0</v>
      </c>
      <c r="K689">
        <v>0</v>
      </c>
      <c r="L689">
        <v>0</v>
      </c>
      <c r="M689">
        <v>0</v>
      </c>
      <c r="N689" t="s">
        <v>77</v>
      </c>
      <c r="O689">
        <v>0</v>
      </c>
      <c r="P689" t="s">
        <v>77</v>
      </c>
      <c r="Q689" s="1">
        <v>0</v>
      </c>
    </row>
    <row r="690" spans="1:17">
      <c r="A690" t="s">
        <v>24</v>
      </c>
      <c r="B690" t="s">
        <v>53</v>
      </c>
      <c r="C690" t="s">
        <v>483</v>
      </c>
      <c r="D690" t="s">
        <v>82</v>
      </c>
      <c r="E690" t="s">
        <v>60</v>
      </c>
      <c r="F690" t="s">
        <v>55</v>
      </c>
      <c r="G690" t="s">
        <v>80</v>
      </c>
      <c r="H690">
        <v>0</v>
      </c>
      <c r="I690" t="s">
        <v>21</v>
      </c>
      <c r="J690">
        <v>0</v>
      </c>
      <c r="K690">
        <v>0</v>
      </c>
      <c r="L690">
        <v>0</v>
      </c>
      <c r="M690">
        <v>0</v>
      </c>
      <c r="N690" t="s">
        <v>77</v>
      </c>
      <c r="O690">
        <v>0</v>
      </c>
      <c r="P690" t="s">
        <v>77</v>
      </c>
      <c r="Q690" s="1">
        <v>0</v>
      </c>
    </row>
    <row r="691" spans="1:17">
      <c r="A691" t="s">
        <v>24</v>
      </c>
      <c r="B691" t="s">
        <v>53</v>
      </c>
      <c r="C691" t="s">
        <v>484</v>
      </c>
      <c r="D691" t="s">
        <v>79</v>
      </c>
      <c r="E691" t="s">
        <v>60</v>
      </c>
      <c r="F691" t="s">
        <v>55</v>
      </c>
      <c r="G691" t="s">
        <v>80</v>
      </c>
      <c r="H691">
        <v>0</v>
      </c>
      <c r="I691" t="s">
        <v>21</v>
      </c>
      <c r="J691">
        <v>0</v>
      </c>
      <c r="K691">
        <v>0</v>
      </c>
      <c r="L691">
        <v>0</v>
      </c>
      <c r="M691">
        <v>0</v>
      </c>
      <c r="N691" t="s">
        <v>77</v>
      </c>
      <c r="O691">
        <v>0</v>
      </c>
      <c r="P691" t="s">
        <v>77</v>
      </c>
      <c r="Q691" s="1">
        <v>0</v>
      </c>
    </row>
    <row r="692" spans="1:17">
      <c r="A692" t="s">
        <v>24</v>
      </c>
      <c r="B692" t="s">
        <v>53</v>
      </c>
      <c r="C692" t="s">
        <v>485</v>
      </c>
      <c r="D692" t="s">
        <v>82</v>
      </c>
      <c r="E692" t="s">
        <v>60</v>
      </c>
      <c r="F692" t="s">
        <v>55</v>
      </c>
      <c r="G692" t="s">
        <v>80</v>
      </c>
      <c r="H692">
        <v>0</v>
      </c>
      <c r="I692" t="s">
        <v>21</v>
      </c>
      <c r="J692">
        <v>0</v>
      </c>
      <c r="K692">
        <v>0</v>
      </c>
      <c r="L692">
        <v>0</v>
      </c>
      <c r="M692">
        <v>0</v>
      </c>
      <c r="N692" t="s">
        <v>77</v>
      </c>
      <c r="O692">
        <v>0</v>
      </c>
      <c r="P692" t="s">
        <v>77</v>
      </c>
      <c r="Q692" s="1">
        <v>0</v>
      </c>
    </row>
    <row r="693" spans="1:17">
      <c r="A693" t="s">
        <v>24</v>
      </c>
      <c r="B693" t="s">
        <v>53</v>
      </c>
      <c r="C693" t="s">
        <v>486</v>
      </c>
      <c r="D693" t="s">
        <v>79</v>
      </c>
      <c r="E693" t="s">
        <v>60</v>
      </c>
      <c r="F693" t="s">
        <v>55</v>
      </c>
      <c r="G693" t="s">
        <v>76</v>
      </c>
      <c r="H693">
        <v>0</v>
      </c>
      <c r="I693" t="s">
        <v>21</v>
      </c>
      <c r="J693">
        <v>0</v>
      </c>
      <c r="K693">
        <v>0</v>
      </c>
      <c r="L693">
        <v>0</v>
      </c>
      <c r="M693">
        <v>0</v>
      </c>
      <c r="N693" t="s">
        <v>77</v>
      </c>
      <c r="O693">
        <v>0</v>
      </c>
      <c r="P693" t="s">
        <v>77</v>
      </c>
      <c r="Q693" s="1">
        <v>0</v>
      </c>
    </row>
    <row r="694" spans="1:17">
      <c r="A694" t="s">
        <v>24</v>
      </c>
      <c r="B694" t="s">
        <v>53</v>
      </c>
      <c r="C694" t="s">
        <v>487</v>
      </c>
      <c r="D694" t="s">
        <v>75</v>
      </c>
      <c r="E694" t="s">
        <v>60</v>
      </c>
      <c r="F694" t="s">
        <v>55</v>
      </c>
      <c r="G694" t="s">
        <v>80</v>
      </c>
      <c r="H694">
        <v>0</v>
      </c>
      <c r="I694" t="s">
        <v>21</v>
      </c>
      <c r="J694">
        <v>0</v>
      </c>
      <c r="K694">
        <v>0</v>
      </c>
      <c r="L694">
        <v>0</v>
      </c>
      <c r="M694">
        <v>0</v>
      </c>
      <c r="N694" t="s">
        <v>77</v>
      </c>
      <c r="O694">
        <v>0</v>
      </c>
      <c r="P694" t="s">
        <v>77</v>
      </c>
      <c r="Q694" s="1">
        <v>0</v>
      </c>
    </row>
    <row r="695" spans="1:17">
      <c r="A695" t="s">
        <v>24</v>
      </c>
      <c r="B695" t="s">
        <v>53</v>
      </c>
      <c r="C695" t="s">
        <v>488</v>
      </c>
      <c r="D695" t="s">
        <v>82</v>
      </c>
      <c r="E695" t="s">
        <v>60</v>
      </c>
      <c r="F695" t="s">
        <v>55</v>
      </c>
      <c r="G695" t="s">
        <v>76</v>
      </c>
      <c r="H695">
        <v>0</v>
      </c>
      <c r="I695" t="s">
        <v>21</v>
      </c>
      <c r="J695">
        <v>0</v>
      </c>
      <c r="K695">
        <v>0</v>
      </c>
      <c r="L695">
        <v>0</v>
      </c>
      <c r="M695">
        <v>0</v>
      </c>
      <c r="N695" t="s">
        <v>77</v>
      </c>
      <c r="O695">
        <v>0</v>
      </c>
      <c r="P695" t="s">
        <v>77</v>
      </c>
      <c r="Q695" s="1">
        <v>0</v>
      </c>
    </row>
    <row r="696" spans="1:17">
      <c r="A696" t="s">
        <v>24</v>
      </c>
      <c r="B696" t="s">
        <v>53</v>
      </c>
      <c r="C696" t="s">
        <v>489</v>
      </c>
      <c r="D696" t="s">
        <v>79</v>
      </c>
      <c r="E696" t="s">
        <v>60</v>
      </c>
      <c r="F696" t="s">
        <v>55</v>
      </c>
      <c r="G696" t="s">
        <v>76</v>
      </c>
      <c r="H696">
        <v>0</v>
      </c>
      <c r="I696" t="s">
        <v>21</v>
      </c>
      <c r="J696">
        <v>0</v>
      </c>
      <c r="K696">
        <v>0</v>
      </c>
      <c r="L696">
        <v>0</v>
      </c>
      <c r="M696">
        <v>0</v>
      </c>
      <c r="N696" t="s">
        <v>77</v>
      </c>
      <c r="O696">
        <v>0</v>
      </c>
      <c r="P696" t="s">
        <v>77</v>
      </c>
      <c r="Q696" s="1">
        <v>0</v>
      </c>
    </row>
    <row r="697" spans="1:17">
      <c r="A697" t="s">
        <v>24</v>
      </c>
      <c r="B697" t="s">
        <v>53</v>
      </c>
      <c r="C697" t="s">
        <v>490</v>
      </c>
      <c r="D697" t="s">
        <v>82</v>
      </c>
      <c r="E697" t="s">
        <v>60</v>
      </c>
      <c r="F697" t="s">
        <v>55</v>
      </c>
      <c r="G697" t="s">
        <v>76</v>
      </c>
      <c r="H697">
        <v>0</v>
      </c>
      <c r="I697" t="s">
        <v>21</v>
      </c>
      <c r="J697">
        <v>0</v>
      </c>
      <c r="K697">
        <v>0</v>
      </c>
      <c r="L697">
        <v>0</v>
      </c>
      <c r="M697">
        <v>0</v>
      </c>
      <c r="N697" t="s">
        <v>77</v>
      </c>
      <c r="O697">
        <v>0</v>
      </c>
      <c r="P697" t="s">
        <v>77</v>
      </c>
      <c r="Q697" s="1">
        <v>0</v>
      </c>
    </row>
    <row r="698" spans="1:17">
      <c r="A698" t="s">
        <v>24</v>
      </c>
      <c r="B698" t="s">
        <v>53</v>
      </c>
      <c r="C698" t="s">
        <v>491</v>
      </c>
      <c r="D698" t="s">
        <v>79</v>
      </c>
      <c r="E698" t="s">
        <v>60</v>
      </c>
      <c r="F698" t="s">
        <v>55</v>
      </c>
      <c r="G698" t="s">
        <v>80</v>
      </c>
      <c r="H698">
        <v>0</v>
      </c>
      <c r="I698" t="s">
        <v>21</v>
      </c>
      <c r="J698">
        <v>0</v>
      </c>
      <c r="K698">
        <v>0</v>
      </c>
      <c r="L698">
        <v>0</v>
      </c>
      <c r="M698">
        <v>0</v>
      </c>
      <c r="N698" t="s">
        <v>77</v>
      </c>
      <c r="O698">
        <v>0</v>
      </c>
      <c r="P698" t="s">
        <v>77</v>
      </c>
      <c r="Q698" s="1">
        <v>0</v>
      </c>
    </row>
    <row r="699" spans="1:17">
      <c r="A699" t="s">
        <v>24</v>
      </c>
      <c r="B699" t="s">
        <v>53</v>
      </c>
      <c r="C699" t="s">
        <v>492</v>
      </c>
      <c r="D699" t="s">
        <v>75</v>
      </c>
      <c r="E699" t="s">
        <v>60</v>
      </c>
      <c r="F699" t="s">
        <v>55</v>
      </c>
      <c r="G699" t="s">
        <v>80</v>
      </c>
      <c r="H699">
        <v>0</v>
      </c>
      <c r="I699" t="s">
        <v>21</v>
      </c>
      <c r="J699">
        <v>0</v>
      </c>
      <c r="K699">
        <v>0</v>
      </c>
      <c r="L699">
        <v>0</v>
      </c>
      <c r="M699">
        <v>0</v>
      </c>
      <c r="N699" t="s">
        <v>77</v>
      </c>
      <c r="O699">
        <v>0</v>
      </c>
      <c r="P699" t="s">
        <v>77</v>
      </c>
      <c r="Q699" s="1">
        <v>0</v>
      </c>
    </row>
    <row r="700" spans="1:17">
      <c r="A700" t="s">
        <v>24</v>
      </c>
      <c r="B700" t="s">
        <v>53</v>
      </c>
      <c r="C700" t="s">
        <v>493</v>
      </c>
      <c r="D700" t="s">
        <v>79</v>
      </c>
      <c r="E700" t="s">
        <v>60</v>
      </c>
      <c r="F700" t="s">
        <v>55</v>
      </c>
      <c r="G700" t="s">
        <v>80</v>
      </c>
      <c r="H700">
        <v>0</v>
      </c>
      <c r="I700" t="s">
        <v>21</v>
      </c>
      <c r="J700">
        <v>0</v>
      </c>
      <c r="K700">
        <v>0</v>
      </c>
      <c r="L700">
        <v>0</v>
      </c>
      <c r="M700">
        <v>0</v>
      </c>
      <c r="N700" t="s">
        <v>77</v>
      </c>
      <c r="O700">
        <v>0</v>
      </c>
      <c r="P700" t="s">
        <v>77</v>
      </c>
      <c r="Q700" s="1">
        <v>0</v>
      </c>
    </row>
    <row r="701" spans="1:17">
      <c r="A701" t="s">
        <v>24</v>
      </c>
      <c r="B701" t="s">
        <v>53</v>
      </c>
      <c r="C701" t="s">
        <v>494</v>
      </c>
      <c r="D701" t="s">
        <v>75</v>
      </c>
      <c r="E701" t="s">
        <v>60</v>
      </c>
      <c r="F701" t="s">
        <v>55</v>
      </c>
      <c r="G701" t="s">
        <v>80</v>
      </c>
      <c r="H701">
        <v>0</v>
      </c>
      <c r="I701" t="s">
        <v>21</v>
      </c>
      <c r="J701">
        <v>0</v>
      </c>
      <c r="K701">
        <v>0</v>
      </c>
      <c r="L701">
        <v>0</v>
      </c>
      <c r="M701">
        <v>0</v>
      </c>
      <c r="N701" t="s">
        <v>77</v>
      </c>
      <c r="O701">
        <v>0</v>
      </c>
      <c r="P701" t="s">
        <v>77</v>
      </c>
      <c r="Q701" s="1">
        <v>0</v>
      </c>
    </row>
    <row r="702" spans="1:17">
      <c r="A702" t="s">
        <v>24</v>
      </c>
      <c r="B702" t="s">
        <v>53</v>
      </c>
      <c r="C702" t="s">
        <v>495</v>
      </c>
      <c r="D702" t="s">
        <v>82</v>
      </c>
      <c r="E702" t="s">
        <v>60</v>
      </c>
      <c r="F702" t="s">
        <v>55</v>
      </c>
      <c r="G702" t="s">
        <v>80</v>
      </c>
      <c r="H702">
        <v>0</v>
      </c>
      <c r="I702" t="s">
        <v>21</v>
      </c>
      <c r="J702">
        <v>0</v>
      </c>
      <c r="K702">
        <v>0</v>
      </c>
      <c r="L702">
        <v>0</v>
      </c>
      <c r="M702">
        <v>0</v>
      </c>
      <c r="N702" t="s">
        <v>77</v>
      </c>
      <c r="O702">
        <v>0</v>
      </c>
      <c r="P702" t="s">
        <v>77</v>
      </c>
      <c r="Q702" s="1">
        <v>0</v>
      </c>
    </row>
    <row r="703" spans="1:17">
      <c r="A703" t="s">
        <v>24</v>
      </c>
      <c r="B703" t="s">
        <v>53</v>
      </c>
      <c r="C703" t="s">
        <v>496</v>
      </c>
      <c r="D703" t="s">
        <v>75</v>
      </c>
      <c r="E703" t="s">
        <v>60</v>
      </c>
      <c r="F703" t="s">
        <v>55</v>
      </c>
      <c r="G703" t="s">
        <v>76</v>
      </c>
      <c r="H703">
        <v>0</v>
      </c>
      <c r="I703" t="s">
        <v>21</v>
      </c>
      <c r="J703">
        <v>0</v>
      </c>
      <c r="K703">
        <v>0</v>
      </c>
      <c r="L703">
        <v>0</v>
      </c>
      <c r="M703">
        <v>0</v>
      </c>
      <c r="N703" t="s">
        <v>77</v>
      </c>
      <c r="O703">
        <v>0</v>
      </c>
      <c r="P703" t="s">
        <v>77</v>
      </c>
      <c r="Q703" s="1">
        <v>0</v>
      </c>
    </row>
    <row r="704" spans="1:17">
      <c r="A704" t="s">
        <v>24</v>
      </c>
      <c r="B704" t="s">
        <v>53</v>
      </c>
      <c r="C704" t="s">
        <v>497</v>
      </c>
      <c r="D704" t="s">
        <v>82</v>
      </c>
      <c r="E704" t="s">
        <v>60</v>
      </c>
      <c r="F704" t="s">
        <v>55</v>
      </c>
      <c r="G704" t="s">
        <v>80</v>
      </c>
      <c r="H704">
        <v>0</v>
      </c>
      <c r="I704" t="s">
        <v>21</v>
      </c>
      <c r="J704">
        <v>0</v>
      </c>
      <c r="K704">
        <v>0</v>
      </c>
      <c r="L704">
        <v>0</v>
      </c>
      <c r="M704">
        <v>0</v>
      </c>
      <c r="N704" t="s">
        <v>77</v>
      </c>
      <c r="O704">
        <v>0</v>
      </c>
      <c r="P704" t="s">
        <v>77</v>
      </c>
      <c r="Q704" s="1">
        <v>0</v>
      </c>
    </row>
    <row r="705" spans="1:17">
      <c r="A705" t="s">
        <v>24</v>
      </c>
      <c r="B705" t="s">
        <v>53</v>
      </c>
      <c r="C705" t="s">
        <v>498</v>
      </c>
      <c r="D705" t="s">
        <v>75</v>
      </c>
      <c r="E705" t="s">
        <v>60</v>
      </c>
      <c r="F705" t="s">
        <v>55</v>
      </c>
      <c r="G705" t="s">
        <v>76</v>
      </c>
      <c r="H705">
        <v>0</v>
      </c>
      <c r="I705" t="s">
        <v>21</v>
      </c>
      <c r="J705">
        <v>0</v>
      </c>
      <c r="K705">
        <v>0</v>
      </c>
      <c r="L705">
        <v>0</v>
      </c>
      <c r="M705">
        <v>0</v>
      </c>
      <c r="N705" t="s">
        <v>77</v>
      </c>
      <c r="O705">
        <v>0</v>
      </c>
      <c r="P705" t="s">
        <v>77</v>
      </c>
      <c r="Q705" s="1">
        <v>0</v>
      </c>
    </row>
    <row r="706" spans="1:17">
      <c r="A706" t="s">
        <v>24</v>
      </c>
      <c r="B706" t="s">
        <v>53</v>
      </c>
      <c r="C706" t="s">
        <v>499</v>
      </c>
      <c r="D706" t="s">
        <v>75</v>
      </c>
      <c r="E706" t="s">
        <v>60</v>
      </c>
      <c r="F706" t="s">
        <v>55</v>
      </c>
      <c r="G706" t="s">
        <v>80</v>
      </c>
      <c r="H706">
        <v>0</v>
      </c>
      <c r="I706" t="s">
        <v>21</v>
      </c>
      <c r="J706">
        <v>0</v>
      </c>
      <c r="K706">
        <v>0</v>
      </c>
      <c r="L706">
        <v>0</v>
      </c>
      <c r="M706">
        <v>0</v>
      </c>
      <c r="N706" t="s">
        <v>77</v>
      </c>
      <c r="O706">
        <v>0</v>
      </c>
      <c r="P706" t="s">
        <v>77</v>
      </c>
      <c r="Q706" s="1">
        <v>0</v>
      </c>
    </row>
    <row r="707" spans="1:17">
      <c r="A707" t="s">
        <v>24</v>
      </c>
      <c r="B707" t="s">
        <v>53</v>
      </c>
      <c r="C707" t="s">
        <v>500</v>
      </c>
      <c r="D707" t="s">
        <v>79</v>
      </c>
      <c r="E707" t="s">
        <v>60</v>
      </c>
      <c r="F707" t="s">
        <v>55</v>
      </c>
      <c r="G707" t="s">
        <v>76</v>
      </c>
      <c r="H707">
        <v>0</v>
      </c>
      <c r="I707" t="s">
        <v>21</v>
      </c>
      <c r="J707">
        <v>0</v>
      </c>
      <c r="K707">
        <v>0</v>
      </c>
      <c r="L707">
        <v>0</v>
      </c>
      <c r="M707">
        <v>0</v>
      </c>
      <c r="N707" t="s">
        <v>77</v>
      </c>
      <c r="O707">
        <v>0</v>
      </c>
      <c r="P707" t="s">
        <v>77</v>
      </c>
      <c r="Q707" s="1">
        <v>0</v>
      </c>
    </row>
    <row r="708" spans="1:17">
      <c r="A708" t="s">
        <v>24</v>
      </c>
      <c r="B708" t="s">
        <v>53</v>
      </c>
      <c r="C708" t="s">
        <v>501</v>
      </c>
      <c r="D708" t="s">
        <v>82</v>
      </c>
      <c r="E708" t="s">
        <v>60</v>
      </c>
      <c r="F708" t="s">
        <v>55</v>
      </c>
      <c r="G708" t="s">
        <v>76</v>
      </c>
      <c r="H708">
        <v>0</v>
      </c>
      <c r="I708" t="s">
        <v>21</v>
      </c>
      <c r="J708">
        <v>0</v>
      </c>
      <c r="K708">
        <v>0</v>
      </c>
      <c r="L708">
        <v>0</v>
      </c>
      <c r="M708">
        <v>0</v>
      </c>
      <c r="N708" t="s">
        <v>77</v>
      </c>
      <c r="O708">
        <v>0</v>
      </c>
      <c r="P708" t="s">
        <v>77</v>
      </c>
      <c r="Q708" s="1">
        <v>0</v>
      </c>
    </row>
  </sheetData>
  <phoneticPr fontId="18"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54837-1016-4DFB-8471-46B90497FB40}">
  <dimension ref="A3:AD66"/>
  <sheetViews>
    <sheetView topLeftCell="L40" zoomScale="65" zoomScaleNormal="65" workbookViewId="0">
      <selection activeCell="R45" sqref="R45:AB66"/>
    </sheetView>
  </sheetViews>
  <sheetFormatPr baseColWidth="10" defaultColWidth="8.83203125" defaultRowHeight="29.5" customHeight="1"/>
  <cols>
    <col min="1" max="1" width="35.6640625" customWidth="1"/>
    <col min="2" max="2" width="14.1640625" customWidth="1"/>
    <col min="3" max="3" width="18.5" customWidth="1"/>
    <col min="4" max="4" width="18.83203125" customWidth="1"/>
    <col min="5" max="5" width="37.5" customWidth="1"/>
    <col min="6" max="6" width="13.6640625" customWidth="1"/>
    <col min="7" max="7" width="18.83203125" customWidth="1"/>
    <col min="8" max="8" width="12.5" customWidth="1"/>
    <col min="9" max="9" width="11.83203125" customWidth="1"/>
    <col min="10" max="10" width="25.6640625" customWidth="1"/>
    <col min="11" max="11" width="16.1640625" customWidth="1"/>
    <col min="13" max="14" width="13.83203125" customWidth="1"/>
    <col min="15" max="15" width="14.83203125" customWidth="1"/>
    <col min="16" max="16" width="12.1640625" customWidth="1"/>
    <col min="18" max="18" width="64.1640625" customWidth="1"/>
    <col min="19" max="19" width="9.6640625" customWidth="1"/>
    <col min="20" max="20" width="16.1640625" customWidth="1"/>
    <col min="21" max="21" width="15.6640625" customWidth="1"/>
    <col min="22" max="22" width="13.6640625" customWidth="1"/>
    <col min="23" max="23" width="9" customWidth="1"/>
    <col min="26" max="26" width="11.83203125" customWidth="1"/>
    <col min="28" max="28" width="12" customWidth="1"/>
    <col min="29" max="29" width="13.33203125" customWidth="1"/>
    <col min="30" max="30" width="12.6640625" customWidth="1"/>
  </cols>
  <sheetData>
    <row r="3" spans="1:30" s="3" customFormat="1" ht="29.5" customHeight="1">
      <c r="A3" s="2" t="s">
        <v>0</v>
      </c>
      <c r="B3" s="2" t="s">
        <v>1</v>
      </c>
      <c r="C3" s="2" t="s">
        <v>2</v>
      </c>
      <c r="D3" s="2" t="s">
        <v>3</v>
      </c>
      <c r="E3" s="2" t="s">
        <v>59</v>
      </c>
      <c r="F3" s="2" t="s">
        <v>5</v>
      </c>
      <c r="G3" s="2" t="s">
        <v>6</v>
      </c>
      <c r="H3" s="2" t="s">
        <v>7</v>
      </c>
      <c r="I3" s="2" t="s">
        <v>8</v>
      </c>
      <c r="J3" s="2" t="s">
        <v>9</v>
      </c>
      <c r="K3" s="2" t="s">
        <v>10</v>
      </c>
      <c r="L3" s="2" t="s">
        <v>11</v>
      </c>
      <c r="M3" s="2" t="s">
        <v>12</v>
      </c>
      <c r="N3" s="2" t="s">
        <v>13</v>
      </c>
      <c r="O3" s="2" t="s">
        <v>14</v>
      </c>
      <c r="P3" s="2" t="s">
        <v>35</v>
      </c>
      <c r="R3" t="s">
        <v>59</v>
      </c>
      <c r="S3" t="s">
        <v>47</v>
      </c>
      <c r="T3" t="s">
        <v>48</v>
      </c>
      <c r="U3" t="s">
        <v>49</v>
      </c>
      <c r="V3" t="s">
        <v>12</v>
      </c>
      <c r="W3" t="s">
        <v>13</v>
      </c>
      <c r="X3" t="s">
        <v>50</v>
      </c>
      <c r="Y3" t="s">
        <v>7</v>
      </c>
      <c r="Z3" t="s">
        <v>8</v>
      </c>
      <c r="AA3" t="s">
        <v>9</v>
      </c>
      <c r="AB3" t="s">
        <v>36</v>
      </c>
      <c r="AC3" s="45" t="s">
        <v>11</v>
      </c>
      <c r="AD3" t="s">
        <v>14</v>
      </c>
    </row>
    <row r="4" spans="1:30" s="3" customFormat="1" ht="29.5" customHeight="1">
      <c r="A4" s="2" t="s">
        <v>22</v>
      </c>
      <c r="B4" s="2" t="s">
        <v>23</v>
      </c>
      <c r="C4" s="2" t="s">
        <v>27</v>
      </c>
      <c r="D4" s="2" t="s">
        <v>18</v>
      </c>
      <c r="E4" s="2" t="s">
        <v>24</v>
      </c>
      <c r="F4" s="2">
        <v>16.670000000000002</v>
      </c>
      <c r="G4" s="2" t="s">
        <v>20</v>
      </c>
      <c r="H4" s="2">
        <v>17</v>
      </c>
      <c r="I4" s="5">
        <v>8500</v>
      </c>
      <c r="J4" s="4">
        <v>2E-3</v>
      </c>
      <c r="K4" s="2" t="s">
        <v>21</v>
      </c>
      <c r="L4" s="2">
        <v>43.16</v>
      </c>
      <c r="M4" s="2">
        <v>1</v>
      </c>
      <c r="N4" s="2">
        <v>43.16</v>
      </c>
      <c r="O4" s="4">
        <v>5.8799999999999998E-2</v>
      </c>
      <c r="P4" s="2">
        <f>IF(Table1[[#This Row],[Clicks]]=0,0,Table1[[#This Row],[Cost]]/Table1[[#This Row],[Clicks]])</f>
        <v>2.5388235294117645</v>
      </c>
      <c r="R4" s="63" t="s">
        <v>24</v>
      </c>
      <c r="S4" t="s">
        <v>53</v>
      </c>
      <c r="T4" t="s">
        <v>54</v>
      </c>
      <c r="U4" t="s">
        <v>55</v>
      </c>
      <c r="V4">
        <v>18.670000000000002</v>
      </c>
      <c r="W4">
        <v>37.33</v>
      </c>
      <c r="X4" t="s">
        <v>52</v>
      </c>
      <c r="Y4">
        <v>279</v>
      </c>
      <c r="Z4" s="10">
        <v>13727</v>
      </c>
      <c r="AA4" s="1">
        <v>2.0299999999999999E-2</v>
      </c>
      <c r="AB4">
        <v>2.5</v>
      </c>
      <c r="AC4" s="45">
        <v>696.8</v>
      </c>
      <c r="AD4" s="1">
        <v>6.6900000000000001E-2</v>
      </c>
    </row>
    <row r="5" spans="1:30" s="3" customFormat="1" ht="29.5" customHeight="1">
      <c r="A5" s="2" t="s">
        <v>22</v>
      </c>
      <c r="B5" s="2" t="s">
        <v>16</v>
      </c>
      <c r="C5" s="2" t="s">
        <v>27</v>
      </c>
      <c r="D5" s="2" t="s">
        <v>18</v>
      </c>
      <c r="E5" s="2" t="s">
        <v>24</v>
      </c>
      <c r="F5" s="2">
        <v>16.670000000000002</v>
      </c>
      <c r="G5" s="2" t="s">
        <v>20</v>
      </c>
      <c r="H5" s="2">
        <v>1</v>
      </c>
      <c r="I5" s="5">
        <v>6139</v>
      </c>
      <c r="J5" s="4">
        <v>2.0000000000000001E-4</v>
      </c>
      <c r="K5" s="2" t="s">
        <v>21</v>
      </c>
      <c r="L5" s="2">
        <v>1.68</v>
      </c>
      <c r="M5" s="2">
        <v>0</v>
      </c>
      <c r="N5" s="2">
        <v>0</v>
      </c>
      <c r="O5" s="4">
        <v>0</v>
      </c>
      <c r="P5" s="2">
        <f>IF(Table1[[#This Row],[Clicks]]=0,0,Table1[[#This Row],[Cost]]/Table1[[#This Row],[Clicks]])</f>
        <v>1.68</v>
      </c>
      <c r="R5" s="62" t="s">
        <v>19</v>
      </c>
      <c r="S5" t="s">
        <v>53</v>
      </c>
      <c r="T5" t="s">
        <v>54</v>
      </c>
      <c r="U5" t="s">
        <v>55</v>
      </c>
      <c r="V5">
        <v>27</v>
      </c>
      <c r="W5">
        <v>44.26</v>
      </c>
      <c r="X5" t="s">
        <v>52</v>
      </c>
      <c r="Y5">
        <v>286</v>
      </c>
      <c r="Z5" s="10">
        <v>7195</v>
      </c>
      <c r="AA5" s="1">
        <v>3.9699999999999999E-2</v>
      </c>
      <c r="AB5">
        <v>4.18</v>
      </c>
      <c r="AC5" s="45">
        <v>1195.0999999999999</v>
      </c>
      <c r="AD5" s="1">
        <v>9.4399999999999998E-2</v>
      </c>
    </row>
    <row r="6" spans="1:30" s="3" customFormat="1" ht="29.5" customHeight="1">
      <c r="A6" s="2" t="s">
        <v>15</v>
      </c>
      <c r="B6" s="2" t="s">
        <v>23</v>
      </c>
      <c r="C6" s="2" t="s">
        <v>28</v>
      </c>
      <c r="D6" s="2" t="s">
        <v>18</v>
      </c>
      <c r="E6" s="2" t="s">
        <v>19</v>
      </c>
      <c r="F6" s="2">
        <v>10.92</v>
      </c>
      <c r="G6" s="2" t="s">
        <v>20</v>
      </c>
      <c r="H6" s="2">
        <v>236</v>
      </c>
      <c r="I6" s="5">
        <v>5294</v>
      </c>
      <c r="J6" s="4">
        <v>4.4600000000000001E-2</v>
      </c>
      <c r="K6" s="2" t="s">
        <v>21</v>
      </c>
      <c r="L6" s="2">
        <v>883.59</v>
      </c>
      <c r="M6" s="2">
        <v>17</v>
      </c>
      <c r="N6" s="2">
        <v>51.98</v>
      </c>
      <c r="O6" s="4">
        <v>7.1999999999999995E-2</v>
      </c>
      <c r="P6" s="2">
        <f>IF(Table1[[#This Row],[Clicks]]=0,0,Table1[[#This Row],[Cost]]/Table1[[#This Row],[Clicks]])</f>
        <v>3.7440254237288135</v>
      </c>
      <c r="R6" s="62" t="s">
        <v>24</v>
      </c>
      <c r="S6" t="s">
        <v>53</v>
      </c>
      <c r="T6" t="s">
        <v>62</v>
      </c>
      <c r="U6" t="s">
        <v>55</v>
      </c>
      <c r="V6">
        <v>13.33</v>
      </c>
      <c r="W6">
        <v>32.619999999999997</v>
      </c>
      <c r="X6" t="s">
        <v>52</v>
      </c>
      <c r="Y6">
        <v>158</v>
      </c>
      <c r="Z6" s="10">
        <v>5464</v>
      </c>
      <c r="AA6" s="1">
        <v>2.8899999999999999E-2</v>
      </c>
      <c r="AB6">
        <v>2.75</v>
      </c>
      <c r="AC6" s="45">
        <v>435</v>
      </c>
      <c r="AD6" s="1">
        <v>8.4400000000000003E-2</v>
      </c>
    </row>
    <row r="7" spans="1:30" s="3" customFormat="1" ht="29.5" customHeight="1">
      <c r="A7" s="2" t="s">
        <v>15</v>
      </c>
      <c r="B7" s="2" t="s">
        <v>23</v>
      </c>
      <c r="C7" s="2" t="s">
        <v>28</v>
      </c>
      <c r="D7" s="2" t="s">
        <v>18</v>
      </c>
      <c r="E7" s="2" t="s">
        <v>24</v>
      </c>
      <c r="F7" s="2">
        <v>16.670000000000002</v>
      </c>
      <c r="G7" s="2" t="s">
        <v>20</v>
      </c>
      <c r="H7" s="2">
        <v>228</v>
      </c>
      <c r="I7" s="5">
        <v>4175</v>
      </c>
      <c r="J7" s="4">
        <v>5.4600000000000003E-2</v>
      </c>
      <c r="K7" s="2" t="s">
        <v>21</v>
      </c>
      <c r="L7" s="2">
        <v>469.87</v>
      </c>
      <c r="M7" s="2">
        <v>15.67</v>
      </c>
      <c r="N7" s="2">
        <v>29.99</v>
      </c>
      <c r="O7" s="4">
        <v>6.8699999999999997E-2</v>
      </c>
      <c r="P7" s="2">
        <f>IF(Table1[[#This Row],[Clicks]]=0,0,Table1[[#This Row],[Cost]]/Table1[[#This Row],[Clicks]])</f>
        <v>2.0608333333333335</v>
      </c>
      <c r="R7" s="63" t="s">
        <v>63</v>
      </c>
      <c r="S7" t="s">
        <v>53</v>
      </c>
      <c r="T7" t="s">
        <v>54</v>
      </c>
      <c r="U7" t="s">
        <v>55</v>
      </c>
      <c r="V7">
        <v>6</v>
      </c>
      <c r="W7">
        <v>41.98</v>
      </c>
      <c r="X7" t="s">
        <v>52</v>
      </c>
      <c r="Y7">
        <v>92</v>
      </c>
      <c r="Z7" s="10">
        <v>1232</v>
      </c>
      <c r="AA7" s="1">
        <v>7.4700000000000003E-2</v>
      </c>
      <c r="AB7">
        <v>2.74</v>
      </c>
      <c r="AC7" s="45">
        <v>251.86</v>
      </c>
      <c r="AD7" s="1">
        <v>6.5199999999999994E-2</v>
      </c>
    </row>
    <row r="8" spans="1:30" s="3" customFormat="1" ht="29.5" customHeight="1">
      <c r="A8" s="2" t="s">
        <v>22</v>
      </c>
      <c r="B8" s="2" t="s">
        <v>23</v>
      </c>
      <c r="C8" s="2" t="s">
        <v>28</v>
      </c>
      <c r="D8" s="2" t="s">
        <v>18</v>
      </c>
      <c r="E8" s="2" t="s">
        <v>24</v>
      </c>
      <c r="F8" s="2">
        <v>16.670000000000002</v>
      </c>
      <c r="G8" s="2" t="s">
        <v>20</v>
      </c>
      <c r="H8" s="2">
        <v>42</v>
      </c>
      <c r="I8" s="5">
        <v>4145</v>
      </c>
      <c r="J8" s="4">
        <v>1.01E-2</v>
      </c>
      <c r="K8" s="2" t="s">
        <v>21</v>
      </c>
      <c r="L8" s="2">
        <v>69.45</v>
      </c>
      <c r="M8" s="2">
        <v>3</v>
      </c>
      <c r="N8" s="2">
        <v>23.15</v>
      </c>
      <c r="O8" s="4">
        <v>7.1400000000000005E-2</v>
      </c>
      <c r="P8" s="2">
        <f>IF(Table1[[#This Row],[Clicks]]=0,0,Table1[[#This Row],[Cost]]/Table1[[#This Row],[Clicks]])</f>
        <v>1.6535714285714287</v>
      </c>
      <c r="R8" s="63" t="s">
        <v>19</v>
      </c>
      <c r="S8" t="s">
        <v>18</v>
      </c>
      <c r="T8" t="s">
        <v>58</v>
      </c>
      <c r="U8" t="s">
        <v>18</v>
      </c>
      <c r="V8">
        <v>1</v>
      </c>
      <c r="W8">
        <v>196.57</v>
      </c>
      <c r="X8" t="s">
        <v>52</v>
      </c>
      <c r="Y8">
        <v>48</v>
      </c>
      <c r="Z8" s="10">
        <v>1059</v>
      </c>
      <c r="AA8" s="1">
        <v>4.53E-2</v>
      </c>
      <c r="AB8">
        <v>4.0999999999999996</v>
      </c>
      <c r="AC8" s="45">
        <v>196.57</v>
      </c>
      <c r="AD8" s="1">
        <v>2.0799999999999999E-2</v>
      </c>
    </row>
    <row r="9" spans="1:30" s="3" customFormat="1" ht="29.5" customHeight="1">
      <c r="A9" s="2" t="s">
        <v>15</v>
      </c>
      <c r="B9" s="2" t="s">
        <v>23</v>
      </c>
      <c r="C9" s="2" t="s">
        <v>27</v>
      </c>
      <c r="D9" s="2" t="s">
        <v>18</v>
      </c>
      <c r="E9" s="2" t="s">
        <v>19</v>
      </c>
      <c r="F9" s="2">
        <v>10.92</v>
      </c>
      <c r="G9" s="2" t="s">
        <v>20</v>
      </c>
      <c r="H9" s="2">
        <v>130</v>
      </c>
      <c r="I9" s="5">
        <v>3814</v>
      </c>
      <c r="J9" s="4">
        <v>3.4099999999999998E-2</v>
      </c>
      <c r="K9" s="2" t="s">
        <v>21</v>
      </c>
      <c r="L9" s="2">
        <v>716.54</v>
      </c>
      <c r="M9" s="2">
        <v>14</v>
      </c>
      <c r="N9" s="2">
        <v>51.18</v>
      </c>
      <c r="O9" s="4">
        <v>0.1077</v>
      </c>
      <c r="P9" s="2">
        <f>IF(Table1[[#This Row],[Clicks]]=0,0,Table1[[#This Row],[Cost]]/Table1[[#This Row],[Clicks]])</f>
        <v>5.5118461538461538</v>
      </c>
      <c r="R9" s="63" t="s">
        <v>24</v>
      </c>
      <c r="S9" t="s">
        <v>53</v>
      </c>
      <c r="T9" t="s">
        <v>61</v>
      </c>
      <c r="U9" t="s">
        <v>55</v>
      </c>
      <c r="V9">
        <v>4</v>
      </c>
      <c r="W9">
        <v>20.010000000000002</v>
      </c>
      <c r="X9" t="s">
        <v>52</v>
      </c>
      <c r="Y9">
        <v>33</v>
      </c>
      <c r="Z9">
        <v>985</v>
      </c>
      <c r="AA9" s="1">
        <v>3.3500000000000002E-2</v>
      </c>
      <c r="AB9">
        <v>2.42</v>
      </c>
      <c r="AC9" s="45">
        <v>80.02</v>
      </c>
      <c r="AD9" s="1">
        <v>0.1212</v>
      </c>
    </row>
    <row r="10" spans="1:30" s="3" customFormat="1" ht="29.5" customHeight="1">
      <c r="A10" s="2" t="s">
        <v>22</v>
      </c>
      <c r="B10" s="2" t="s">
        <v>16</v>
      </c>
      <c r="C10" s="2" t="s">
        <v>28</v>
      </c>
      <c r="D10" s="2" t="s">
        <v>18</v>
      </c>
      <c r="E10" s="2" t="s">
        <v>24</v>
      </c>
      <c r="F10" s="2">
        <v>16.670000000000002</v>
      </c>
      <c r="G10" s="2" t="s">
        <v>20</v>
      </c>
      <c r="H10" s="2">
        <v>1</v>
      </c>
      <c r="I10" s="5">
        <v>3640</v>
      </c>
      <c r="J10" s="4">
        <v>2.9999999999999997E-4</v>
      </c>
      <c r="K10" s="2" t="s">
        <v>21</v>
      </c>
      <c r="L10" s="2">
        <v>2.9</v>
      </c>
      <c r="M10" s="2">
        <v>0</v>
      </c>
      <c r="N10" s="2">
        <v>0</v>
      </c>
      <c r="O10" s="4">
        <v>0</v>
      </c>
      <c r="P10" s="2">
        <f>IF(Table1[[#This Row],[Clicks]]=0,0,Table1[[#This Row],[Cost]]/Table1[[#This Row],[Clicks]])</f>
        <v>2.9</v>
      </c>
      <c r="R10" s="63" t="s">
        <v>19</v>
      </c>
      <c r="S10" t="s">
        <v>18</v>
      </c>
      <c r="T10" t="s">
        <v>51</v>
      </c>
      <c r="U10" t="s">
        <v>18</v>
      </c>
      <c r="V10">
        <v>0</v>
      </c>
      <c r="W10">
        <v>0</v>
      </c>
      <c r="X10" t="s">
        <v>52</v>
      </c>
      <c r="Y10">
        <v>24</v>
      </c>
      <c r="Z10">
        <v>384</v>
      </c>
      <c r="AA10" s="1">
        <v>6.25E-2</v>
      </c>
      <c r="AB10">
        <v>6.51</v>
      </c>
      <c r="AC10" s="45">
        <v>156.30000000000001</v>
      </c>
      <c r="AD10" s="1">
        <v>0</v>
      </c>
    </row>
    <row r="11" spans="1:30" s="3" customFormat="1" ht="29.5" customHeight="1">
      <c r="A11" s="2" t="s">
        <v>15</v>
      </c>
      <c r="B11" s="2" t="s">
        <v>23</v>
      </c>
      <c r="C11" s="2" t="s">
        <v>27</v>
      </c>
      <c r="D11" s="2" t="s">
        <v>18</v>
      </c>
      <c r="E11" s="2" t="s">
        <v>24</v>
      </c>
      <c r="F11" s="2">
        <v>16.670000000000002</v>
      </c>
      <c r="G11" s="2" t="s">
        <v>20</v>
      </c>
      <c r="H11" s="2">
        <v>159</v>
      </c>
      <c r="I11" s="5">
        <v>3266</v>
      </c>
      <c r="J11" s="4">
        <v>4.87E-2</v>
      </c>
      <c r="K11" s="2" t="s">
        <v>21</v>
      </c>
      <c r="L11" s="2">
        <v>558.46</v>
      </c>
      <c r="M11" s="2">
        <v>13</v>
      </c>
      <c r="N11" s="2">
        <v>42.96</v>
      </c>
      <c r="O11" s="4">
        <v>8.1799999999999998E-2</v>
      </c>
      <c r="P11" s="2">
        <f>IF(Table1[[#This Row],[Clicks]]=0,0,Table1[[#This Row],[Cost]]/Table1[[#This Row],[Clicks]])</f>
        <v>3.5123270440251573</v>
      </c>
      <c r="R11" s="63" t="s">
        <v>19</v>
      </c>
      <c r="S11" t="s">
        <v>53</v>
      </c>
      <c r="T11" t="s">
        <v>57</v>
      </c>
      <c r="U11" t="s">
        <v>55</v>
      </c>
      <c r="V11">
        <v>2</v>
      </c>
      <c r="W11">
        <v>58.98</v>
      </c>
      <c r="X11" t="s">
        <v>52</v>
      </c>
      <c r="Y11">
        <v>26</v>
      </c>
      <c r="Z11">
        <v>382</v>
      </c>
      <c r="AA11" s="1">
        <v>6.8099999999999994E-2</v>
      </c>
      <c r="AB11">
        <v>4.54</v>
      </c>
      <c r="AC11" s="45">
        <v>117.96</v>
      </c>
      <c r="AD11" s="1">
        <v>7.6899999999999996E-2</v>
      </c>
    </row>
    <row r="12" spans="1:30" s="3" customFormat="1" ht="29.5" customHeight="1">
      <c r="A12" s="2" t="s">
        <v>15</v>
      </c>
      <c r="B12" s="2" t="s">
        <v>16</v>
      </c>
      <c r="C12" s="2" t="s">
        <v>28</v>
      </c>
      <c r="D12" s="2" t="s">
        <v>18</v>
      </c>
      <c r="E12" s="2" t="s">
        <v>19</v>
      </c>
      <c r="F12" s="2">
        <v>10.92</v>
      </c>
      <c r="G12" s="2" t="s">
        <v>20</v>
      </c>
      <c r="H12" s="2">
        <v>17</v>
      </c>
      <c r="I12" s="5">
        <v>2403</v>
      </c>
      <c r="J12" s="4">
        <v>7.1000000000000004E-3</v>
      </c>
      <c r="K12" s="2" t="s">
        <v>21</v>
      </c>
      <c r="L12" s="2">
        <v>58.37</v>
      </c>
      <c r="M12" s="2">
        <v>0</v>
      </c>
      <c r="N12" s="2">
        <v>0</v>
      </c>
      <c r="O12" s="4">
        <v>0</v>
      </c>
      <c r="P12" s="2">
        <f>IF(Table1[[#This Row],[Clicks]]=0,0,Table1[[#This Row],[Cost]]/Table1[[#This Row],[Clicks]])</f>
        <v>3.4335294117647059</v>
      </c>
      <c r="R12" s="63" t="s">
        <v>63</v>
      </c>
      <c r="S12" t="s">
        <v>53</v>
      </c>
      <c r="T12" t="s">
        <v>57</v>
      </c>
      <c r="U12" t="s">
        <v>55</v>
      </c>
      <c r="V12">
        <v>0</v>
      </c>
      <c r="W12">
        <v>0</v>
      </c>
      <c r="X12" t="s">
        <v>52</v>
      </c>
      <c r="Y12">
        <v>12</v>
      </c>
      <c r="Z12">
        <v>209</v>
      </c>
      <c r="AA12" s="1">
        <v>5.74E-2</v>
      </c>
      <c r="AB12">
        <v>3.79</v>
      </c>
      <c r="AC12" s="45">
        <v>45.52</v>
      </c>
      <c r="AD12" s="1">
        <v>0</v>
      </c>
    </row>
    <row r="13" spans="1:30" s="3" customFormat="1" ht="29.5" customHeight="1">
      <c r="A13" s="2" t="s">
        <v>15</v>
      </c>
      <c r="B13" s="2" t="s">
        <v>16</v>
      </c>
      <c r="C13" s="2" t="s">
        <v>28</v>
      </c>
      <c r="D13" s="2" t="s">
        <v>18</v>
      </c>
      <c r="E13" s="2" t="s">
        <v>24</v>
      </c>
      <c r="F13" s="2">
        <v>16.670000000000002</v>
      </c>
      <c r="G13" s="2" t="s">
        <v>20</v>
      </c>
      <c r="H13" s="2">
        <v>14</v>
      </c>
      <c r="I13" s="5">
        <v>2015</v>
      </c>
      <c r="J13" s="4">
        <v>6.8999999999999999E-3</v>
      </c>
      <c r="K13" s="2" t="s">
        <v>21</v>
      </c>
      <c r="L13" s="2">
        <v>39.46</v>
      </c>
      <c r="M13" s="2">
        <v>0.33</v>
      </c>
      <c r="N13" s="2">
        <v>118.38</v>
      </c>
      <c r="O13" s="4">
        <v>2.3800000000000002E-2</v>
      </c>
      <c r="P13" s="2">
        <f>IF(Table1[[#This Row],[Clicks]]=0,0,Table1[[#This Row],[Cost]]/Table1[[#This Row],[Clicks]])</f>
        <v>2.8185714285714285</v>
      </c>
      <c r="R13" s="63" t="s">
        <v>19</v>
      </c>
      <c r="S13" t="s">
        <v>53</v>
      </c>
      <c r="T13" t="s">
        <v>56</v>
      </c>
      <c r="U13" t="s">
        <v>55</v>
      </c>
      <c r="V13">
        <v>1</v>
      </c>
      <c r="W13">
        <v>22.79</v>
      </c>
      <c r="X13" t="s">
        <v>52</v>
      </c>
      <c r="Y13">
        <v>7</v>
      </c>
      <c r="Z13">
        <v>169</v>
      </c>
      <c r="AA13" s="1">
        <v>4.1399999999999999E-2</v>
      </c>
      <c r="AB13">
        <v>3.26</v>
      </c>
      <c r="AC13" s="45">
        <v>22.79</v>
      </c>
      <c r="AD13" s="1">
        <v>0.1429</v>
      </c>
    </row>
    <row r="14" spans="1:30" s="3" customFormat="1" ht="29.5" customHeight="1">
      <c r="A14" s="2" t="s">
        <v>15</v>
      </c>
      <c r="B14" s="2" t="s">
        <v>16</v>
      </c>
      <c r="C14" s="2" t="s">
        <v>27</v>
      </c>
      <c r="D14" s="2" t="s">
        <v>18</v>
      </c>
      <c r="E14" s="2" t="s">
        <v>24</v>
      </c>
      <c r="F14" s="2">
        <v>16.670000000000002</v>
      </c>
      <c r="G14" s="2" t="s">
        <v>20</v>
      </c>
      <c r="H14" s="2">
        <v>3</v>
      </c>
      <c r="I14" s="5">
        <v>1759</v>
      </c>
      <c r="J14" s="4">
        <v>1.6999999999999999E-3</v>
      </c>
      <c r="K14" s="2" t="s">
        <v>21</v>
      </c>
      <c r="L14" s="2">
        <v>13.25</v>
      </c>
      <c r="M14" s="2">
        <v>1</v>
      </c>
      <c r="N14" s="2">
        <v>13.25</v>
      </c>
      <c r="O14" s="4">
        <v>0.33329999999999999</v>
      </c>
      <c r="P14" s="2">
        <f>IF(Table1[[#This Row],[Clicks]]=0,0,Table1[[#This Row],[Cost]]/Table1[[#This Row],[Clicks]])</f>
        <v>4.416666666666667</v>
      </c>
      <c r="R14" s="63" t="s">
        <v>63</v>
      </c>
      <c r="S14" t="s">
        <v>53</v>
      </c>
      <c r="T14" t="s">
        <v>56</v>
      </c>
      <c r="U14" t="s">
        <v>55</v>
      </c>
      <c r="V14">
        <v>0</v>
      </c>
      <c r="W14">
        <v>0</v>
      </c>
      <c r="X14" t="s">
        <v>52</v>
      </c>
      <c r="Y14">
        <v>2</v>
      </c>
      <c r="Z14">
        <v>44</v>
      </c>
      <c r="AA14" s="1">
        <v>4.5499999999999999E-2</v>
      </c>
      <c r="AB14">
        <v>4.6100000000000003</v>
      </c>
      <c r="AC14" s="45">
        <v>9.2200000000000006</v>
      </c>
      <c r="AD14" s="1">
        <v>0</v>
      </c>
    </row>
    <row r="15" spans="1:30" s="3" customFormat="1" ht="29.5" customHeight="1">
      <c r="A15" s="2" t="s">
        <v>15</v>
      </c>
      <c r="B15" s="2" t="s">
        <v>16</v>
      </c>
      <c r="C15" s="2" t="s">
        <v>27</v>
      </c>
      <c r="D15" s="2" t="s">
        <v>18</v>
      </c>
      <c r="E15" s="2" t="s">
        <v>19</v>
      </c>
      <c r="F15" s="2">
        <v>10.92</v>
      </c>
      <c r="G15" s="2" t="s">
        <v>20</v>
      </c>
      <c r="H15" s="2">
        <v>5</v>
      </c>
      <c r="I15" s="5">
        <v>1649</v>
      </c>
      <c r="J15" s="4">
        <v>3.0000000000000001E-3</v>
      </c>
      <c r="K15" s="2" t="s">
        <v>21</v>
      </c>
      <c r="L15" s="2">
        <v>19.739999999999998</v>
      </c>
      <c r="M15" s="2">
        <v>0</v>
      </c>
      <c r="N15" s="2">
        <v>0</v>
      </c>
      <c r="O15" s="4">
        <v>0</v>
      </c>
      <c r="P15" s="2">
        <f>IF(Table1[[#This Row],[Clicks]]=0,0,Table1[[#This Row],[Cost]]/Table1[[#This Row],[Clicks]])</f>
        <v>3.9479999999999995</v>
      </c>
      <c r="R15" s="63" t="s">
        <v>64</v>
      </c>
      <c r="S15" t="s">
        <v>18</v>
      </c>
      <c r="T15" t="s">
        <v>60</v>
      </c>
      <c r="U15" t="s">
        <v>18</v>
      </c>
      <c r="V15">
        <v>0</v>
      </c>
      <c r="W15">
        <v>0</v>
      </c>
      <c r="X15" t="s">
        <v>52</v>
      </c>
      <c r="Y15">
        <v>0</v>
      </c>
      <c r="Z15">
        <v>0</v>
      </c>
      <c r="AA15">
        <v>0</v>
      </c>
      <c r="AB15">
        <v>0</v>
      </c>
      <c r="AC15" s="45">
        <v>0</v>
      </c>
      <c r="AD15" s="1">
        <v>0</v>
      </c>
    </row>
    <row r="16" spans="1:30" s="3" customFormat="1" ht="29.5" customHeight="1">
      <c r="A16" s="2" t="s">
        <v>15</v>
      </c>
      <c r="B16" s="2" t="s">
        <v>23</v>
      </c>
      <c r="C16" s="2" t="s">
        <v>28</v>
      </c>
      <c r="D16" s="2" t="s">
        <v>18</v>
      </c>
      <c r="E16" s="2" t="s">
        <v>25</v>
      </c>
      <c r="F16" s="2">
        <v>10.92</v>
      </c>
      <c r="G16" s="2" t="s">
        <v>20</v>
      </c>
      <c r="H16" s="2">
        <v>57</v>
      </c>
      <c r="I16" s="2">
        <v>826</v>
      </c>
      <c r="J16" s="4">
        <v>6.9000000000000006E-2</v>
      </c>
      <c r="K16" s="2" t="s">
        <v>21</v>
      </c>
      <c r="L16" s="2">
        <v>129.13999999999999</v>
      </c>
      <c r="M16" s="2">
        <v>3</v>
      </c>
      <c r="N16" s="2">
        <v>43.05</v>
      </c>
      <c r="O16" s="4">
        <v>5.2600000000000001E-2</v>
      </c>
      <c r="P16" s="2">
        <f>IF(Table1[[#This Row],[Clicks]]=0,0,Table1[[#This Row],[Cost]]/Table1[[#This Row],[Clicks]])</f>
        <v>2.2656140350877192</v>
      </c>
      <c r="R16" s="63" t="s">
        <v>63</v>
      </c>
      <c r="S16" t="s">
        <v>18</v>
      </c>
      <c r="T16" t="s">
        <v>51</v>
      </c>
      <c r="U16" t="s">
        <v>18</v>
      </c>
      <c r="V16">
        <v>0</v>
      </c>
      <c r="W16">
        <v>0</v>
      </c>
      <c r="X16" t="s">
        <v>52</v>
      </c>
      <c r="Y16">
        <v>0</v>
      </c>
      <c r="Z16">
        <v>0</v>
      </c>
      <c r="AA16">
        <v>0</v>
      </c>
      <c r="AB16">
        <v>0</v>
      </c>
      <c r="AC16" s="45">
        <v>0</v>
      </c>
      <c r="AD16" s="1">
        <v>0</v>
      </c>
    </row>
    <row r="17" spans="1:30" s="3" customFormat="1" ht="29.5" customHeight="1">
      <c r="A17" s="2" t="s">
        <v>15</v>
      </c>
      <c r="B17" s="2" t="s">
        <v>23</v>
      </c>
      <c r="C17" s="2" t="s">
        <v>27</v>
      </c>
      <c r="D17" s="2" t="s">
        <v>18</v>
      </c>
      <c r="E17" s="2" t="s">
        <v>25</v>
      </c>
      <c r="F17" s="2">
        <v>10.92</v>
      </c>
      <c r="G17" s="2" t="s">
        <v>20</v>
      </c>
      <c r="H17" s="2">
        <v>42</v>
      </c>
      <c r="I17" s="2">
        <v>642</v>
      </c>
      <c r="J17" s="4">
        <v>6.54E-2</v>
      </c>
      <c r="K17" s="2" t="s">
        <v>21</v>
      </c>
      <c r="L17" s="2">
        <v>156.38999999999999</v>
      </c>
      <c r="M17" s="2">
        <v>3</v>
      </c>
      <c r="N17" s="2">
        <v>52.13</v>
      </c>
      <c r="O17" s="4">
        <v>7.1400000000000005E-2</v>
      </c>
      <c r="P17" s="2">
        <f>IF(Table1[[#This Row],[Clicks]]=0,0,Table1[[#This Row],[Cost]]/Table1[[#This Row],[Clicks]])</f>
        <v>3.7235714285714283</v>
      </c>
      <c r="R17" s="63" t="s">
        <v>63</v>
      </c>
      <c r="S17" t="s">
        <v>18</v>
      </c>
      <c r="T17" t="s">
        <v>58</v>
      </c>
      <c r="U17" t="s">
        <v>18</v>
      </c>
      <c r="V17">
        <v>0</v>
      </c>
      <c r="W17">
        <v>0</v>
      </c>
      <c r="X17" t="s">
        <v>52</v>
      </c>
      <c r="Y17">
        <v>0</v>
      </c>
      <c r="Z17">
        <v>0</v>
      </c>
      <c r="AA17">
        <v>0</v>
      </c>
      <c r="AB17">
        <v>0</v>
      </c>
      <c r="AC17" s="45">
        <v>0</v>
      </c>
      <c r="AD17" s="1">
        <v>0</v>
      </c>
    </row>
    <row r="18" spans="1:30" s="3" customFormat="1" ht="29.5" customHeight="1">
      <c r="A18" s="2" t="s">
        <v>15</v>
      </c>
      <c r="B18" s="2" t="s">
        <v>16</v>
      </c>
      <c r="C18" s="2" t="s">
        <v>28</v>
      </c>
      <c r="D18" s="2" t="s">
        <v>18</v>
      </c>
      <c r="E18" s="2" t="s">
        <v>25</v>
      </c>
      <c r="F18" s="2">
        <v>10.92</v>
      </c>
      <c r="G18" s="2" t="s">
        <v>20</v>
      </c>
      <c r="H18" s="2">
        <v>4</v>
      </c>
      <c r="I18" s="2">
        <v>385</v>
      </c>
      <c r="J18" s="4">
        <v>1.04E-2</v>
      </c>
      <c r="K18" s="2" t="s">
        <v>21</v>
      </c>
      <c r="L18" s="2">
        <v>11.05</v>
      </c>
      <c r="M18" s="2">
        <v>0</v>
      </c>
      <c r="N18" s="2">
        <v>0</v>
      </c>
      <c r="O18" s="4">
        <v>0</v>
      </c>
      <c r="P18" s="2">
        <f>IF(Table1[[#This Row],[Clicks]]=0,0,Table1[[#This Row],[Cost]]/Table1[[#This Row],[Clicks]])</f>
        <v>2.7625000000000002</v>
      </c>
    </row>
    <row r="19" spans="1:30" s="3" customFormat="1" ht="29.5" customHeight="1">
      <c r="A19" s="2" t="s">
        <v>15</v>
      </c>
      <c r="B19" s="2" t="s">
        <v>16</v>
      </c>
      <c r="C19" s="2" t="s">
        <v>27</v>
      </c>
      <c r="D19" s="2" t="s">
        <v>18</v>
      </c>
      <c r="E19" s="2" t="s">
        <v>25</v>
      </c>
      <c r="F19" s="2">
        <v>10.92</v>
      </c>
      <c r="G19" s="2" t="s">
        <v>20</v>
      </c>
      <c r="H19" s="2">
        <v>1</v>
      </c>
      <c r="I19" s="2">
        <v>298</v>
      </c>
      <c r="J19" s="4">
        <v>3.3999999999999998E-3</v>
      </c>
      <c r="K19" s="2" t="s">
        <v>21</v>
      </c>
      <c r="L19" s="2">
        <v>6.42</v>
      </c>
      <c r="M19" s="2">
        <v>0</v>
      </c>
      <c r="N19" s="2">
        <v>0</v>
      </c>
      <c r="O19" s="4">
        <v>0</v>
      </c>
      <c r="P19" s="2">
        <f>IF(Table1[[#This Row],[Clicks]]=0,0,Table1[[#This Row],[Cost]]/Table1[[#This Row],[Clicks]])</f>
        <v>6.42</v>
      </c>
    </row>
    <row r="20" spans="1:30" s="3" customFormat="1" ht="29.5" customHeight="1">
      <c r="A20" s="2" t="s">
        <v>22</v>
      </c>
      <c r="B20" s="2" t="s">
        <v>26</v>
      </c>
      <c r="C20" s="2" t="s">
        <v>27</v>
      </c>
      <c r="D20" s="2" t="s">
        <v>18</v>
      </c>
      <c r="E20" s="2" t="s">
        <v>24</v>
      </c>
      <c r="F20" s="2">
        <v>16.670000000000002</v>
      </c>
      <c r="G20" s="2" t="s">
        <v>20</v>
      </c>
      <c r="H20" s="2">
        <v>0</v>
      </c>
      <c r="I20" s="2">
        <v>183</v>
      </c>
      <c r="J20" s="4">
        <v>0</v>
      </c>
      <c r="K20" s="2" t="s">
        <v>21</v>
      </c>
      <c r="L20" s="2">
        <v>0</v>
      </c>
      <c r="M20" s="2">
        <v>0</v>
      </c>
      <c r="N20" s="2">
        <v>0</v>
      </c>
      <c r="O20" s="2">
        <v>0</v>
      </c>
      <c r="P20" s="2">
        <f>IF(Table1[[#This Row],[Clicks]]=0,0,Table1[[#This Row],[Cost]]/Table1[[#This Row],[Clicks]])</f>
        <v>0</v>
      </c>
    </row>
    <row r="21" spans="1:30" s="3" customFormat="1" ht="29.5" customHeight="1">
      <c r="A21" s="2" t="s">
        <v>15</v>
      </c>
      <c r="B21" s="2" t="s">
        <v>23</v>
      </c>
      <c r="C21" s="2" t="s">
        <v>17</v>
      </c>
      <c r="D21" s="2" t="s">
        <v>18</v>
      </c>
      <c r="E21" s="2" t="s">
        <v>19</v>
      </c>
      <c r="F21" s="2">
        <v>10.92</v>
      </c>
      <c r="G21" s="2" t="s">
        <v>20</v>
      </c>
      <c r="H21" s="2">
        <v>2</v>
      </c>
      <c r="I21" s="2">
        <v>81</v>
      </c>
      <c r="J21" s="4">
        <v>2.47E-2</v>
      </c>
      <c r="K21" s="2" t="s">
        <v>21</v>
      </c>
      <c r="L21" s="2">
        <v>7.67</v>
      </c>
      <c r="M21" s="2">
        <v>0</v>
      </c>
      <c r="N21" s="2">
        <v>0</v>
      </c>
      <c r="O21" s="4">
        <v>0</v>
      </c>
      <c r="P21" s="2">
        <f>IF(Table1[[#This Row],[Clicks]]=0,0,Table1[[#This Row],[Cost]]/Table1[[#This Row],[Clicks]])</f>
        <v>3.835</v>
      </c>
    </row>
    <row r="22" spans="1:30" s="3" customFormat="1" ht="29.5" customHeight="1">
      <c r="A22" s="2" t="s">
        <v>15</v>
      </c>
      <c r="B22" s="2" t="s">
        <v>26</v>
      </c>
      <c r="C22" s="2" t="s">
        <v>28</v>
      </c>
      <c r="D22" s="2" t="s">
        <v>18</v>
      </c>
      <c r="E22" s="2" t="s">
        <v>24</v>
      </c>
      <c r="F22" s="2">
        <v>16.670000000000002</v>
      </c>
      <c r="G22" s="2" t="s">
        <v>20</v>
      </c>
      <c r="H22" s="2">
        <v>0</v>
      </c>
      <c r="I22" s="2">
        <v>78</v>
      </c>
      <c r="J22" s="4">
        <v>0</v>
      </c>
      <c r="K22" s="2" t="s">
        <v>21</v>
      </c>
      <c r="L22" s="2">
        <v>0</v>
      </c>
      <c r="M22" s="2">
        <v>0</v>
      </c>
      <c r="N22" s="2">
        <v>0</v>
      </c>
      <c r="O22" s="2">
        <v>0</v>
      </c>
      <c r="P22" s="2">
        <f>IF(Table1[[#This Row],[Clicks]]=0,0,Table1[[#This Row],[Cost]]/Table1[[#This Row],[Clicks]])</f>
        <v>0</v>
      </c>
    </row>
    <row r="23" spans="1:30" s="3" customFormat="1" ht="29.5" customHeight="1">
      <c r="A23" s="2" t="s">
        <v>15</v>
      </c>
      <c r="B23" s="2" t="s">
        <v>23</v>
      </c>
      <c r="C23" s="2" t="s">
        <v>17</v>
      </c>
      <c r="D23" s="2" t="s">
        <v>18</v>
      </c>
      <c r="E23" s="2" t="s">
        <v>24</v>
      </c>
      <c r="F23" s="2">
        <v>16.670000000000002</v>
      </c>
      <c r="G23" s="2" t="s">
        <v>20</v>
      </c>
      <c r="H23" s="2">
        <v>1</v>
      </c>
      <c r="I23" s="2">
        <v>60</v>
      </c>
      <c r="J23" s="4">
        <v>1.67E-2</v>
      </c>
      <c r="K23" s="2" t="s">
        <v>21</v>
      </c>
      <c r="L23" s="2">
        <v>4.8899999999999997</v>
      </c>
      <c r="M23" s="2">
        <v>0</v>
      </c>
      <c r="N23" s="2">
        <v>0</v>
      </c>
      <c r="O23" s="4">
        <v>0</v>
      </c>
      <c r="P23" s="2">
        <f>IF(Table1[[#This Row],[Clicks]]=0,0,Table1[[#This Row],[Cost]]/Table1[[#This Row],[Clicks]])</f>
        <v>4.8899999999999997</v>
      </c>
    </row>
    <row r="24" spans="1:30" s="3" customFormat="1" ht="29.5" customHeight="1">
      <c r="A24" s="2" t="s">
        <v>15</v>
      </c>
      <c r="B24" s="2" t="s">
        <v>26</v>
      </c>
      <c r="C24" s="2" t="s">
        <v>27</v>
      </c>
      <c r="D24" s="2" t="s">
        <v>18</v>
      </c>
      <c r="E24" s="2" t="s">
        <v>24</v>
      </c>
      <c r="F24" s="2">
        <v>16.670000000000002</v>
      </c>
      <c r="G24" s="2" t="s">
        <v>20</v>
      </c>
      <c r="H24" s="2">
        <v>0</v>
      </c>
      <c r="I24" s="2">
        <v>54</v>
      </c>
      <c r="J24" s="4">
        <v>0</v>
      </c>
      <c r="K24" s="2" t="s">
        <v>21</v>
      </c>
      <c r="L24" s="2">
        <v>0</v>
      </c>
      <c r="M24" s="2">
        <v>0</v>
      </c>
      <c r="N24" s="2">
        <v>0</v>
      </c>
      <c r="O24" s="2">
        <v>0</v>
      </c>
      <c r="P24" s="2">
        <f>IF(Table1[[#This Row],[Clicks]]=0,0,Table1[[#This Row],[Cost]]/Table1[[#This Row],[Clicks]])</f>
        <v>0</v>
      </c>
    </row>
    <row r="25" spans="1:30" s="3" customFormat="1" ht="29.5" customHeight="1">
      <c r="A25" s="2" t="s">
        <v>15</v>
      </c>
      <c r="B25" s="2" t="s">
        <v>16</v>
      </c>
      <c r="C25" s="2" t="s">
        <v>17</v>
      </c>
      <c r="D25" s="2" t="s">
        <v>18</v>
      </c>
      <c r="E25" s="2" t="s">
        <v>19</v>
      </c>
      <c r="F25" s="2">
        <v>10.92</v>
      </c>
      <c r="G25" s="2" t="s">
        <v>20</v>
      </c>
      <c r="H25" s="2">
        <v>1</v>
      </c>
      <c r="I25" s="2">
        <v>41</v>
      </c>
      <c r="J25" s="4">
        <v>2.4400000000000002E-2</v>
      </c>
      <c r="K25" s="2" t="s">
        <v>21</v>
      </c>
      <c r="L25" s="2">
        <v>2.81</v>
      </c>
      <c r="M25" s="2">
        <v>0</v>
      </c>
      <c r="N25" s="2">
        <v>0</v>
      </c>
      <c r="O25" s="4">
        <v>0</v>
      </c>
      <c r="P25" s="2">
        <f>IF(Table1[[#This Row],[Clicks]]=0,0,Table1[[#This Row],[Cost]]/Table1[[#This Row],[Clicks]])</f>
        <v>2.81</v>
      </c>
    </row>
    <row r="26" spans="1:30" s="3" customFormat="1" ht="29.5" customHeight="1">
      <c r="A26" s="2" t="s">
        <v>15</v>
      </c>
      <c r="B26" s="2" t="s">
        <v>16</v>
      </c>
      <c r="C26" s="2" t="s">
        <v>17</v>
      </c>
      <c r="D26" s="2" t="s">
        <v>18</v>
      </c>
      <c r="E26" s="2" t="s">
        <v>24</v>
      </c>
      <c r="F26" s="2">
        <v>16.670000000000002</v>
      </c>
      <c r="G26" s="2" t="s">
        <v>20</v>
      </c>
      <c r="H26" s="2">
        <v>0</v>
      </c>
      <c r="I26" s="2">
        <v>35</v>
      </c>
      <c r="J26" s="4">
        <v>0</v>
      </c>
      <c r="K26" s="2" t="s">
        <v>21</v>
      </c>
      <c r="L26" s="2">
        <v>0</v>
      </c>
      <c r="M26" s="2">
        <v>0</v>
      </c>
      <c r="N26" s="2">
        <v>0</v>
      </c>
      <c r="O26" s="2">
        <v>0</v>
      </c>
      <c r="P26" s="2">
        <f>IF(Table1[[#This Row],[Clicks]]=0,0,Table1[[#This Row],[Cost]]/Table1[[#This Row],[Clicks]])</f>
        <v>0</v>
      </c>
    </row>
    <row r="27" spans="1:30" s="3" customFormat="1" ht="29.5" customHeight="1">
      <c r="A27" s="2" t="s">
        <v>22</v>
      </c>
      <c r="B27" s="2" t="s">
        <v>23</v>
      </c>
      <c r="C27" s="2" t="s">
        <v>17</v>
      </c>
      <c r="D27" s="2" t="s">
        <v>18</v>
      </c>
      <c r="E27" s="2" t="s">
        <v>24</v>
      </c>
      <c r="F27" s="2">
        <v>16.670000000000002</v>
      </c>
      <c r="G27" s="2" t="s">
        <v>20</v>
      </c>
      <c r="H27" s="2">
        <v>4</v>
      </c>
      <c r="I27" s="2">
        <v>30</v>
      </c>
      <c r="J27" s="4">
        <v>0.1333</v>
      </c>
      <c r="K27" s="2" t="s">
        <v>21</v>
      </c>
      <c r="L27" s="2">
        <v>8.6999999999999993</v>
      </c>
      <c r="M27" s="2">
        <v>2</v>
      </c>
      <c r="N27" s="2">
        <v>4.3499999999999996</v>
      </c>
      <c r="O27" s="4">
        <v>0.5</v>
      </c>
      <c r="P27" s="2">
        <f>IF(Table1[[#This Row],[Clicks]]=0,0,Table1[[#This Row],[Cost]]/Table1[[#This Row],[Clicks]])</f>
        <v>2.1749999999999998</v>
      </c>
    </row>
    <row r="28" spans="1:30" s="3" customFormat="1" ht="29.5" customHeight="1">
      <c r="A28" s="2" t="s">
        <v>22</v>
      </c>
      <c r="B28" s="2" t="s">
        <v>26</v>
      </c>
      <c r="C28" s="2" t="s">
        <v>28</v>
      </c>
      <c r="D28" s="2" t="s">
        <v>18</v>
      </c>
      <c r="E28" s="2" t="s">
        <v>24</v>
      </c>
      <c r="F28" s="2">
        <v>16.670000000000002</v>
      </c>
      <c r="G28" s="2" t="s">
        <v>20</v>
      </c>
      <c r="H28" s="2">
        <v>0</v>
      </c>
      <c r="I28" s="2">
        <v>30</v>
      </c>
      <c r="J28" s="4">
        <v>0</v>
      </c>
      <c r="K28" s="2" t="s">
        <v>21</v>
      </c>
      <c r="L28" s="2">
        <v>0</v>
      </c>
      <c r="M28" s="2">
        <v>0</v>
      </c>
      <c r="N28" s="2">
        <v>0</v>
      </c>
      <c r="O28" s="2">
        <v>0</v>
      </c>
      <c r="P28" s="2">
        <f>IF(Table1[[#This Row],[Clicks]]=0,0,Table1[[#This Row],[Cost]]/Table1[[#This Row],[Clicks]])</f>
        <v>0</v>
      </c>
    </row>
    <row r="29" spans="1:30" s="3" customFormat="1" ht="29.5" customHeight="1">
      <c r="A29" s="2" t="s">
        <v>22</v>
      </c>
      <c r="B29" s="2" t="s">
        <v>16</v>
      </c>
      <c r="C29" s="2" t="s">
        <v>17</v>
      </c>
      <c r="D29" s="2" t="s">
        <v>18</v>
      </c>
      <c r="E29" s="2" t="s">
        <v>24</v>
      </c>
      <c r="F29" s="2">
        <v>16.670000000000002</v>
      </c>
      <c r="G29" s="2" t="s">
        <v>20</v>
      </c>
      <c r="H29" s="2">
        <v>0</v>
      </c>
      <c r="I29" s="2">
        <v>22</v>
      </c>
      <c r="J29" s="4">
        <v>0</v>
      </c>
      <c r="K29" s="2" t="s">
        <v>21</v>
      </c>
      <c r="L29" s="2">
        <v>0</v>
      </c>
      <c r="M29" s="2">
        <v>0</v>
      </c>
      <c r="N29" s="2">
        <v>0</v>
      </c>
      <c r="O29" s="2">
        <v>0</v>
      </c>
      <c r="P29" s="2">
        <f>IF(Table1[[#This Row],[Clicks]]=0,0,Table1[[#This Row],[Cost]]/Table1[[#This Row],[Clicks]])</f>
        <v>0</v>
      </c>
    </row>
    <row r="30" spans="1:30" s="3" customFormat="1" ht="29.5" customHeight="1">
      <c r="A30" s="2" t="s">
        <v>15</v>
      </c>
      <c r="B30" s="2" t="s">
        <v>23</v>
      </c>
      <c r="C30" s="2" t="s">
        <v>17</v>
      </c>
      <c r="D30" s="2" t="s">
        <v>18</v>
      </c>
      <c r="E30" s="2" t="s">
        <v>25</v>
      </c>
      <c r="F30" s="2">
        <v>10.92</v>
      </c>
      <c r="G30" s="2" t="s">
        <v>20</v>
      </c>
      <c r="H30" s="2">
        <v>2</v>
      </c>
      <c r="I30" s="2">
        <v>17</v>
      </c>
      <c r="J30" s="4">
        <v>0.1176</v>
      </c>
      <c r="K30" s="2" t="s">
        <v>21</v>
      </c>
      <c r="L30" s="2">
        <v>3.6</v>
      </c>
      <c r="M30" s="2">
        <v>0</v>
      </c>
      <c r="N30" s="2">
        <v>0</v>
      </c>
      <c r="O30" s="4">
        <v>0</v>
      </c>
      <c r="P30" s="2">
        <f>IF(Table1[[#This Row],[Clicks]]=0,0,Table1[[#This Row],[Cost]]/Table1[[#This Row],[Clicks]])</f>
        <v>1.8</v>
      </c>
    </row>
    <row r="31" spans="1:30" s="3" customFormat="1" ht="29.5" customHeight="1">
      <c r="A31" s="2" t="s">
        <v>15</v>
      </c>
      <c r="B31" s="2" t="s">
        <v>16</v>
      </c>
      <c r="C31" s="2" t="s">
        <v>17</v>
      </c>
      <c r="D31" s="2" t="s">
        <v>18</v>
      </c>
      <c r="E31" s="2" t="s">
        <v>25</v>
      </c>
      <c r="F31" s="2">
        <v>10.92</v>
      </c>
      <c r="G31" s="2" t="s">
        <v>20</v>
      </c>
      <c r="H31" s="2">
        <v>0</v>
      </c>
      <c r="I31" s="2">
        <v>12</v>
      </c>
      <c r="J31" s="4">
        <v>0</v>
      </c>
      <c r="K31" s="2" t="s">
        <v>21</v>
      </c>
      <c r="L31" s="2">
        <v>0</v>
      </c>
      <c r="M31" s="2">
        <v>0</v>
      </c>
      <c r="N31" s="2">
        <v>0</v>
      </c>
      <c r="O31" s="2">
        <v>0</v>
      </c>
      <c r="P31" s="2">
        <f>IF(Table1[[#This Row],[Clicks]]=0,0,Table1[[#This Row],[Cost]]/Table1[[#This Row],[Clicks]])</f>
        <v>0</v>
      </c>
    </row>
    <row r="33" spans="1:28" ht="29.5" customHeight="1">
      <c r="R33" t="s">
        <v>4</v>
      </c>
      <c r="S33" s="77" t="s">
        <v>524</v>
      </c>
      <c r="T33" s="78" t="s">
        <v>12</v>
      </c>
      <c r="U33" s="78" t="s">
        <v>10</v>
      </c>
      <c r="V33" s="78" t="s">
        <v>13</v>
      </c>
      <c r="W33" s="78" t="s">
        <v>7</v>
      </c>
      <c r="X33" s="78" t="s">
        <v>8</v>
      </c>
      <c r="Y33" s="78" t="s">
        <v>9</v>
      </c>
      <c r="Z33" s="78" t="s">
        <v>36</v>
      </c>
      <c r="AA33" s="78" t="s">
        <v>11</v>
      </c>
      <c r="AB33" s="78" t="s">
        <v>14</v>
      </c>
    </row>
    <row r="34" spans="1:28" ht="29.5" customHeight="1">
      <c r="A34" t="s">
        <v>4</v>
      </c>
      <c r="B34" t="s">
        <v>512</v>
      </c>
      <c r="C34" t="s">
        <v>12</v>
      </c>
      <c r="D34" t="s">
        <v>10</v>
      </c>
      <c r="E34" t="s">
        <v>13</v>
      </c>
      <c r="F34" t="s">
        <v>7</v>
      </c>
      <c r="G34" t="s">
        <v>8</v>
      </c>
      <c r="H34" t="s">
        <v>9</v>
      </c>
      <c r="I34" t="s">
        <v>36</v>
      </c>
      <c r="J34" t="s">
        <v>11</v>
      </c>
      <c r="K34" t="s">
        <v>14</v>
      </c>
      <c r="R34" s="82" t="s">
        <v>19</v>
      </c>
      <c r="S34" s="77" t="s">
        <v>516</v>
      </c>
      <c r="T34" s="78">
        <v>0</v>
      </c>
      <c r="U34" s="78" t="s">
        <v>21</v>
      </c>
      <c r="V34" s="78">
        <v>0</v>
      </c>
      <c r="W34" s="78">
        <v>71</v>
      </c>
      <c r="X34" s="80">
        <v>2504</v>
      </c>
      <c r="Y34" s="79">
        <v>2.8400000000000002E-2</v>
      </c>
      <c r="Z34" s="78">
        <v>3.81</v>
      </c>
      <c r="AA34" s="78">
        <v>270.5</v>
      </c>
      <c r="AB34" s="79">
        <v>0</v>
      </c>
    </row>
    <row r="35" spans="1:28" ht="29.5" customHeight="1">
      <c r="A35" s="76" t="s">
        <v>19</v>
      </c>
      <c r="B35" t="s">
        <v>513</v>
      </c>
      <c r="C35">
        <v>0</v>
      </c>
      <c r="D35" t="s">
        <v>21</v>
      </c>
      <c r="E35">
        <v>0</v>
      </c>
      <c r="F35">
        <v>3</v>
      </c>
      <c r="G35">
        <v>49</v>
      </c>
      <c r="H35" s="1">
        <v>6.1199999999999997E-2</v>
      </c>
      <c r="I35">
        <v>8.1</v>
      </c>
      <c r="J35">
        <v>24.3</v>
      </c>
      <c r="K35" s="1">
        <v>0</v>
      </c>
      <c r="R35" s="82" t="s">
        <v>19</v>
      </c>
      <c r="S35" s="77" t="s">
        <v>525</v>
      </c>
      <c r="T35" s="78">
        <v>14</v>
      </c>
      <c r="U35" s="78" t="s">
        <v>21</v>
      </c>
      <c r="V35" s="78">
        <v>52.87</v>
      </c>
      <c r="W35" s="78">
        <v>180</v>
      </c>
      <c r="X35" s="80">
        <v>3368</v>
      </c>
      <c r="Y35" s="79">
        <v>5.3400000000000003E-2</v>
      </c>
      <c r="Z35" s="78">
        <v>4.1100000000000003</v>
      </c>
      <c r="AA35" s="78">
        <v>740.15</v>
      </c>
      <c r="AB35" s="79">
        <v>7.7799999999999994E-2</v>
      </c>
    </row>
    <row r="36" spans="1:28" ht="29.5" customHeight="1">
      <c r="A36" s="76" t="s">
        <v>19</v>
      </c>
      <c r="B36" t="s">
        <v>514</v>
      </c>
      <c r="C36">
        <v>23</v>
      </c>
      <c r="D36" t="s">
        <v>21</v>
      </c>
      <c r="E36">
        <v>28.75</v>
      </c>
      <c r="F36">
        <v>161</v>
      </c>
      <c r="G36" s="10">
        <v>3597</v>
      </c>
      <c r="H36" s="1">
        <v>4.48E-2</v>
      </c>
      <c r="I36">
        <v>4.1100000000000003</v>
      </c>
      <c r="J36">
        <v>661.27</v>
      </c>
      <c r="K36" s="1">
        <v>0.1429</v>
      </c>
      <c r="R36" s="82" t="s">
        <v>19</v>
      </c>
      <c r="S36" s="77" t="s">
        <v>526</v>
      </c>
      <c r="T36" s="78">
        <v>17</v>
      </c>
      <c r="U36" s="78" t="s">
        <v>21</v>
      </c>
      <c r="V36" s="78">
        <v>39.89</v>
      </c>
      <c r="W36" s="78">
        <v>140</v>
      </c>
      <c r="X36" s="80">
        <v>3317</v>
      </c>
      <c r="Y36" s="79">
        <v>4.2200000000000001E-2</v>
      </c>
      <c r="Z36" s="78">
        <v>4.84</v>
      </c>
      <c r="AA36" s="78">
        <v>678.07</v>
      </c>
      <c r="AB36" s="79">
        <v>0.12139999999999999</v>
      </c>
    </row>
    <row r="37" spans="1:28" ht="29.5" customHeight="1">
      <c r="A37" s="76" t="s">
        <v>19</v>
      </c>
      <c r="B37" t="s">
        <v>515</v>
      </c>
      <c r="C37">
        <v>0</v>
      </c>
      <c r="D37" t="s">
        <v>21</v>
      </c>
      <c r="E37">
        <v>0</v>
      </c>
      <c r="F37">
        <v>0</v>
      </c>
      <c r="G37">
        <v>14</v>
      </c>
      <c r="H37" s="1">
        <v>0</v>
      </c>
      <c r="I37">
        <v>0</v>
      </c>
      <c r="J37">
        <v>0</v>
      </c>
      <c r="K37" s="1">
        <v>0</v>
      </c>
      <c r="R37" s="83" t="s">
        <v>24</v>
      </c>
      <c r="S37" s="77" t="s">
        <v>526</v>
      </c>
      <c r="T37" s="78">
        <v>16</v>
      </c>
      <c r="U37" s="78" t="s">
        <v>21</v>
      </c>
      <c r="V37" s="78">
        <v>36.729999999999997</v>
      </c>
      <c r="W37" s="78">
        <v>212</v>
      </c>
      <c r="X37" s="80">
        <v>7243</v>
      </c>
      <c r="Y37" s="79">
        <v>2.93E-2</v>
      </c>
      <c r="Z37" s="78">
        <v>2.77</v>
      </c>
      <c r="AA37" s="78">
        <v>587.66</v>
      </c>
      <c r="AB37" s="79">
        <v>7.5499999999999998E-2</v>
      </c>
    </row>
    <row r="38" spans="1:28" ht="29.5" customHeight="1">
      <c r="A38" s="76" t="s">
        <v>19</v>
      </c>
      <c r="B38" t="s">
        <v>516</v>
      </c>
      <c r="C38">
        <v>0</v>
      </c>
      <c r="D38" t="s">
        <v>21</v>
      </c>
      <c r="E38">
        <v>0</v>
      </c>
      <c r="F38">
        <v>71</v>
      </c>
      <c r="G38" s="10">
        <v>2519</v>
      </c>
      <c r="H38" s="1">
        <v>2.8199999999999999E-2</v>
      </c>
      <c r="I38">
        <v>3.81</v>
      </c>
      <c r="J38">
        <v>270.5</v>
      </c>
      <c r="K38" s="1">
        <v>0</v>
      </c>
      <c r="R38" s="83" t="s">
        <v>24</v>
      </c>
      <c r="S38" s="77" t="s">
        <v>516</v>
      </c>
      <c r="T38" s="78">
        <v>8</v>
      </c>
      <c r="U38" s="78" t="s">
        <v>21</v>
      </c>
      <c r="V38" s="78">
        <v>33.630000000000003</v>
      </c>
      <c r="W38" s="78">
        <v>129</v>
      </c>
      <c r="X38" s="80">
        <v>9557</v>
      </c>
      <c r="Y38" s="79">
        <v>1.35E-2</v>
      </c>
      <c r="Z38" s="78">
        <v>2.09</v>
      </c>
      <c r="AA38" s="78">
        <v>269.02</v>
      </c>
      <c r="AB38" s="79">
        <v>6.2E-2</v>
      </c>
    </row>
    <row r="39" spans="1:28" ht="29.5" customHeight="1">
      <c r="A39" s="76" t="s">
        <v>19</v>
      </c>
      <c r="B39" t="s">
        <v>517</v>
      </c>
      <c r="C39">
        <v>0</v>
      </c>
      <c r="D39" t="s">
        <v>21</v>
      </c>
      <c r="E39">
        <v>0</v>
      </c>
      <c r="F39">
        <v>8</v>
      </c>
      <c r="G39">
        <v>148</v>
      </c>
      <c r="H39" s="1">
        <v>5.4100000000000002E-2</v>
      </c>
      <c r="I39">
        <v>3.17</v>
      </c>
      <c r="J39">
        <v>25.36</v>
      </c>
      <c r="K39" s="1">
        <v>0</v>
      </c>
      <c r="R39" s="83" t="s">
        <v>24</v>
      </c>
      <c r="S39" s="77" t="s">
        <v>525</v>
      </c>
      <c r="T39" s="78">
        <v>12</v>
      </c>
      <c r="U39" s="78" t="s">
        <v>21</v>
      </c>
      <c r="V39" s="78">
        <v>29.6</v>
      </c>
      <c r="W39" s="78">
        <v>129</v>
      </c>
      <c r="X39" s="80">
        <v>3376</v>
      </c>
      <c r="Y39" s="79">
        <v>3.8199999999999998E-2</v>
      </c>
      <c r="Z39" s="78">
        <v>2.75</v>
      </c>
      <c r="AA39" s="78">
        <v>355.14</v>
      </c>
      <c r="AB39" s="79">
        <v>9.2999999999999999E-2</v>
      </c>
    </row>
    <row r="40" spans="1:28" ht="29.5" customHeight="1">
      <c r="A40" s="76" t="s">
        <v>19</v>
      </c>
      <c r="B40" t="s">
        <v>518</v>
      </c>
      <c r="C40">
        <v>4</v>
      </c>
      <c r="D40" t="s">
        <v>21</v>
      </c>
      <c r="E40">
        <v>99.2</v>
      </c>
      <c r="F40">
        <v>82</v>
      </c>
      <c r="G40" s="10">
        <v>1579</v>
      </c>
      <c r="H40" s="1">
        <v>5.1900000000000002E-2</v>
      </c>
      <c r="I40">
        <v>4.84</v>
      </c>
      <c r="J40">
        <v>396.8</v>
      </c>
      <c r="K40" s="1">
        <v>4.8800000000000003E-2</v>
      </c>
      <c r="R40" s="83" t="s">
        <v>527</v>
      </c>
      <c r="S40" s="77" t="s">
        <v>526</v>
      </c>
      <c r="T40" s="78">
        <v>4</v>
      </c>
      <c r="U40" s="78" t="s">
        <v>21</v>
      </c>
      <c r="V40" s="78">
        <v>32.770000000000003</v>
      </c>
      <c r="W40" s="78">
        <v>41</v>
      </c>
      <c r="X40" s="78">
        <v>590</v>
      </c>
      <c r="Y40" s="79">
        <v>6.9500000000000006E-2</v>
      </c>
      <c r="Z40" s="78">
        <v>3.2</v>
      </c>
      <c r="AA40" s="78">
        <v>131.09</v>
      </c>
      <c r="AB40" s="79">
        <v>9.7600000000000006E-2</v>
      </c>
    </row>
    <row r="41" spans="1:28" ht="29.5" customHeight="1">
      <c r="A41" s="76" t="s">
        <v>19</v>
      </c>
      <c r="B41" t="s">
        <v>519</v>
      </c>
      <c r="C41">
        <v>4</v>
      </c>
      <c r="D41" t="s">
        <v>21</v>
      </c>
      <c r="E41">
        <v>77.62</v>
      </c>
      <c r="F41">
        <v>66</v>
      </c>
      <c r="G41" s="10">
        <v>1283</v>
      </c>
      <c r="H41" s="1">
        <v>5.1400000000000001E-2</v>
      </c>
      <c r="I41">
        <v>4.7</v>
      </c>
      <c r="J41">
        <v>310.48</v>
      </c>
      <c r="K41" s="1">
        <v>6.0600000000000001E-2</v>
      </c>
      <c r="R41" s="83" t="s">
        <v>527</v>
      </c>
      <c r="S41" s="77" t="s">
        <v>516</v>
      </c>
      <c r="T41" s="78">
        <v>0</v>
      </c>
      <c r="U41" s="78" t="s">
        <v>21</v>
      </c>
      <c r="V41" s="78">
        <v>0</v>
      </c>
      <c r="W41" s="78">
        <v>12</v>
      </c>
      <c r="X41" s="78">
        <v>281</v>
      </c>
      <c r="Y41" s="79">
        <v>4.2700000000000002E-2</v>
      </c>
      <c r="Z41" s="78">
        <v>2.66</v>
      </c>
      <c r="AA41" s="78">
        <v>31.88</v>
      </c>
      <c r="AB41" s="79">
        <v>0</v>
      </c>
    </row>
    <row r="42" spans="1:28" ht="29.5" customHeight="1">
      <c r="A42" s="76" t="s">
        <v>63</v>
      </c>
      <c r="B42" s="77" t="s">
        <v>516</v>
      </c>
      <c r="C42" s="78">
        <v>0</v>
      </c>
      <c r="D42" s="78" t="s">
        <v>21</v>
      </c>
      <c r="E42" s="78">
        <v>0</v>
      </c>
      <c r="F42" s="78">
        <v>12</v>
      </c>
      <c r="G42" s="80">
        <v>281</v>
      </c>
      <c r="H42" s="79">
        <v>4.2700000000000002E-2</v>
      </c>
      <c r="I42" s="78">
        <v>2.66</v>
      </c>
      <c r="J42" s="78">
        <v>31.88</v>
      </c>
      <c r="K42" s="79">
        <v>0</v>
      </c>
      <c r="R42" s="83" t="s">
        <v>527</v>
      </c>
      <c r="S42" s="77" t="s">
        <v>525</v>
      </c>
      <c r="T42" s="78">
        <v>2</v>
      </c>
      <c r="U42" s="78" t="s">
        <v>21</v>
      </c>
      <c r="V42" s="78">
        <v>71.819999999999993</v>
      </c>
      <c r="W42" s="78">
        <v>53</v>
      </c>
      <c r="X42" s="78">
        <v>614</v>
      </c>
      <c r="Y42" s="79">
        <v>8.6300000000000002E-2</v>
      </c>
      <c r="Z42" s="78">
        <v>2.71</v>
      </c>
      <c r="AA42" s="78">
        <v>143.63</v>
      </c>
      <c r="AB42" s="79">
        <v>3.7699999999999997E-2</v>
      </c>
    </row>
    <row r="43" spans="1:28" ht="29.5" customHeight="1">
      <c r="A43" s="76" t="s">
        <v>63</v>
      </c>
      <c r="B43" s="77" t="s">
        <v>519</v>
      </c>
      <c r="C43" s="78">
        <v>1</v>
      </c>
      <c r="D43" s="78" t="s">
        <v>21</v>
      </c>
      <c r="E43" s="78">
        <v>44.87</v>
      </c>
      <c r="F43" s="78">
        <v>19</v>
      </c>
      <c r="G43" s="80">
        <v>208</v>
      </c>
      <c r="H43" s="79">
        <v>9.1300000000000006E-2</v>
      </c>
      <c r="I43" s="78">
        <v>2.36</v>
      </c>
      <c r="J43" s="78">
        <v>44.87</v>
      </c>
      <c r="K43" s="79">
        <v>5.2600000000000001E-2</v>
      </c>
    </row>
    <row r="44" spans="1:28" ht="29.5" customHeight="1">
      <c r="A44" s="76" t="s">
        <v>63</v>
      </c>
      <c r="B44" s="77" t="s">
        <v>518</v>
      </c>
      <c r="C44" s="78">
        <v>1</v>
      </c>
      <c r="D44" s="78" t="s">
        <v>21</v>
      </c>
      <c r="E44" s="78">
        <v>79.58</v>
      </c>
      <c r="F44" s="78">
        <v>20</v>
      </c>
      <c r="G44" s="80">
        <v>313</v>
      </c>
      <c r="H44" s="79">
        <v>6.3899999999999998E-2</v>
      </c>
      <c r="I44" s="78">
        <v>3.98</v>
      </c>
      <c r="J44" s="78">
        <v>79.58</v>
      </c>
      <c r="K44" s="79">
        <v>0.05</v>
      </c>
    </row>
    <row r="45" spans="1:28" ht="29.5" customHeight="1">
      <c r="A45" s="76" t="s">
        <v>63</v>
      </c>
      <c r="B45" s="77">
        <v>65</v>
      </c>
      <c r="C45" s="78">
        <v>0</v>
      </c>
      <c r="D45" s="78" t="s">
        <v>21</v>
      </c>
      <c r="E45" s="78">
        <v>0</v>
      </c>
      <c r="F45" s="78">
        <v>0</v>
      </c>
      <c r="G45" s="80">
        <v>0</v>
      </c>
      <c r="H45" s="79" t="s">
        <v>520</v>
      </c>
      <c r="I45" s="78">
        <v>0</v>
      </c>
      <c r="J45" s="78">
        <v>0</v>
      </c>
      <c r="K45" s="79">
        <v>0</v>
      </c>
      <c r="R45" s="75" t="s">
        <v>4</v>
      </c>
      <c r="S45" s="77" t="s">
        <v>543</v>
      </c>
      <c r="T45" s="78" t="s">
        <v>12</v>
      </c>
      <c r="U45" s="78" t="s">
        <v>10</v>
      </c>
      <c r="V45" s="78" t="s">
        <v>13</v>
      </c>
      <c r="W45" s="78" t="s">
        <v>7</v>
      </c>
      <c r="X45" s="78" t="s">
        <v>8</v>
      </c>
      <c r="Y45" s="78" t="s">
        <v>9</v>
      </c>
      <c r="Z45" s="78" t="s">
        <v>36</v>
      </c>
      <c r="AA45" s="78" t="s">
        <v>11</v>
      </c>
      <c r="AB45" s="78" t="s">
        <v>14</v>
      </c>
    </row>
    <row r="46" spans="1:28" ht="29.5" customHeight="1">
      <c r="A46" s="76" t="s">
        <v>63</v>
      </c>
      <c r="B46" s="77" t="s">
        <v>514</v>
      </c>
      <c r="C46" s="78">
        <v>4</v>
      </c>
      <c r="D46" s="78" t="s">
        <v>21</v>
      </c>
      <c r="E46" s="78">
        <v>37.57</v>
      </c>
      <c r="F46" s="78">
        <v>55</v>
      </c>
      <c r="G46" s="80">
        <v>683</v>
      </c>
      <c r="H46" s="79">
        <v>8.0500000000000002E-2</v>
      </c>
      <c r="I46" s="78">
        <v>2.73</v>
      </c>
      <c r="J46" s="78">
        <v>150.27000000000001</v>
      </c>
      <c r="K46" s="79">
        <v>7.2700000000000001E-2</v>
      </c>
      <c r="R46" s="86" t="s">
        <v>527</v>
      </c>
      <c r="S46" s="77" t="s">
        <v>544</v>
      </c>
      <c r="T46" s="78">
        <v>0</v>
      </c>
      <c r="U46" s="78" t="s">
        <v>21</v>
      </c>
      <c r="V46" s="78">
        <v>0</v>
      </c>
      <c r="W46" s="78">
        <v>6</v>
      </c>
      <c r="X46" s="78">
        <v>125</v>
      </c>
      <c r="Y46" s="79">
        <v>4.8000000000000001E-2</v>
      </c>
      <c r="Z46" s="78">
        <v>3.06</v>
      </c>
      <c r="AA46" s="78">
        <v>18.350000000000001</v>
      </c>
      <c r="AB46" s="79">
        <v>0</v>
      </c>
    </row>
    <row r="47" spans="1:28" ht="29.5" customHeight="1">
      <c r="A47" s="76" t="s">
        <v>63</v>
      </c>
      <c r="B47" s="77" t="s">
        <v>517</v>
      </c>
      <c r="C47" s="78">
        <v>0</v>
      </c>
      <c r="D47" s="78" t="s">
        <v>21</v>
      </c>
      <c r="E47" s="78">
        <v>0</v>
      </c>
      <c r="F47" s="78">
        <v>0</v>
      </c>
      <c r="G47" s="80">
        <v>0</v>
      </c>
      <c r="H47" s="79" t="s">
        <v>520</v>
      </c>
      <c r="I47" s="78">
        <v>0</v>
      </c>
      <c r="J47" s="78">
        <v>0</v>
      </c>
      <c r="K47" s="79">
        <v>0</v>
      </c>
      <c r="R47" s="86" t="s">
        <v>527</v>
      </c>
      <c r="S47" s="77" t="s">
        <v>545</v>
      </c>
      <c r="T47" s="78">
        <v>0</v>
      </c>
      <c r="U47" s="78" t="s">
        <v>21</v>
      </c>
      <c r="V47" s="78">
        <v>0</v>
      </c>
      <c r="W47" s="78">
        <v>14</v>
      </c>
      <c r="X47" s="78">
        <v>197</v>
      </c>
      <c r="Y47" s="79">
        <v>7.1099999999999997E-2</v>
      </c>
      <c r="Z47" s="78">
        <v>2.9</v>
      </c>
      <c r="AA47" s="78">
        <v>40.549999999999997</v>
      </c>
      <c r="AB47" s="79">
        <v>0</v>
      </c>
    </row>
    <row r="48" spans="1:28" ht="29.5" customHeight="1">
      <c r="A48" s="76" t="s">
        <v>63</v>
      </c>
      <c r="B48" s="77" t="s">
        <v>513</v>
      </c>
      <c r="C48" s="78">
        <v>0</v>
      </c>
      <c r="D48" s="78" t="s">
        <v>21</v>
      </c>
      <c r="E48" s="78">
        <v>0</v>
      </c>
      <c r="F48" s="78">
        <v>0</v>
      </c>
      <c r="G48" s="80">
        <v>0</v>
      </c>
      <c r="H48" s="79" t="s">
        <v>520</v>
      </c>
      <c r="I48" s="78">
        <v>0</v>
      </c>
      <c r="J48" s="78">
        <v>0</v>
      </c>
      <c r="K48" s="79">
        <v>0</v>
      </c>
      <c r="R48" s="86" t="s">
        <v>527</v>
      </c>
      <c r="S48" s="77" t="s">
        <v>516</v>
      </c>
      <c r="T48" s="78">
        <v>1</v>
      </c>
      <c r="U48" s="78" t="s">
        <v>21</v>
      </c>
      <c r="V48" s="78">
        <v>42.82</v>
      </c>
      <c r="W48" s="78">
        <v>16</v>
      </c>
      <c r="X48" s="78">
        <v>350</v>
      </c>
      <c r="Y48" s="79">
        <v>4.5699999999999998E-2</v>
      </c>
      <c r="Z48" s="78">
        <v>2.68</v>
      </c>
      <c r="AA48" s="78">
        <v>42.82</v>
      </c>
      <c r="AB48" s="79">
        <v>6.25E-2</v>
      </c>
    </row>
    <row r="49" spans="1:28" ht="29.5" customHeight="1">
      <c r="A49" s="76" t="s">
        <v>64</v>
      </c>
      <c r="B49" s="77" t="s">
        <v>514</v>
      </c>
      <c r="C49" s="78">
        <v>12</v>
      </c>
      <c r="D49" s="78" t="s">
        <v>21</v>
      </c>
      <c r="E49" s="78">
        <v>39.26</v>
      </c>
      <c r="F49" s="78">
        <v>181</v>
      </c>
      <c r="G49" s="80">
        <v>6044</v>
      </c>
      <c r="H49" s="79">
        <v>2.9899999999999999E-2</v>
      </c>
      <c r="I49" s="78">
        <v>2.6</v>
      </c>
      <c r="J49" s="78">
        <v>471.14</v>
      </c>
      <c r="K49" s="79">
        <v>6.6299999999999998E-2</v>
      </c>
      <c r="R49" s="86" t="s">
        <v>527</v>
      </c>
      <c r="S49" s="77" t="s">
        <v>546</v>
      </c>
      <c r="T49" s="78">
        <v>0</v>
      </c>
      <c r="U49" s="78" t="s">
        <v>21</v>
      </c>
      <c r="V49" s="78">
        <v>0</v>
      </c>
      <c r="W49" s="78">
        <v>0</v>
      </c>
      <c r="X49" s="78">
        <v>0</v>
      </c>
      <c r="Y49" s="78" t="s">
        <v>520</v>
      </c>
      <c r="Z49" s="78">
        <v>0</v>
      </c>
      <c r="AA49" s="78">
        <v>0</v>
      </c>
      <c r="AB49" s="79">
        <v>0</v>
      </c>
    </row>
    <row r="50" spans="1:28" ht="29.5" customHeight="1">
      <c r="A50" s="76" t="s">
        <v>64</v>
      </c>
      <c r="B50" s="77" t="s">
        <v>513</v>
      </c>
      <c r="C50" s="78">
        <v>0</v>
      </c>
      <c r="D50" s="78" t="s">
        <v>21</v>
      </c>
      <c r="E50" s="78">
        <v>0</v>
      </c>
      <c r="F50" s="78">
        <v>0</v>
      </c>
      <c r="G50" s="78">
        <v>0</v>
      </c>
      <c r="H50" s="78" t="s">
        <v>520</v>
      </c>
      <c r="I50" s="78">
        <v>0</v>
      </c>
      <c r="J50" s="78">
        <v>0</v>
      </c>
      <c r="K50" s="79">
        <v>0</v>
      </c>
      <c r="R50" s="86" t="s">
        <v>527</v>
      </c>
      <c r="S50" s="77" t="s">
        <v>547</v>
      </c>
      <c r="T50" s="78">
        <v>3</v>
      </c>
      <c r="U50" s="78" t="s">
        <v>21</v>
      </c>
      <c r="V50" s="78">
        <v>41.44</v>
      </c>
      <c r="W50" s="78">
        <v>44</v>
      </c>
      <c r="X50" s="78">
        <v>515</v>
      </c>
      <c r="Y50" s="79">
        <v>8.5400000000000004E-2</v>
      </c>
      <c r="Z50" s="78">
        <v>2.83</v>
      </c>
      <c r="AA50" s="78">
        <v>124.31</v>
      </c>
      <c r="AB50" s="79">
        <v>6.8199999999999997E-2</v>
      </c>
    </row>
    <row r="51" spans="1:28" ht="29.5" customHeight="1">
      <c r="A51" s="76" t="s">
        <v>24</v>
      </c>
      <c r="B51" s="77">
        <v>65</v>
      </c>
      <c r="C51" s="78">
        <v>0</v>
      </c>
      <c r="D51" s="78" t="s">
        <v>21</v>
      </c>
      <c r="E51" s="78">
        <v>0</v>
      </c>
      <c r="F51" s="78">
        <v>0</v>
      </c>
      <c r="G51" s="80">
        <v>0</v>
      </c>
      <c r="H51" s="79" t="s">
        <v>520</v>
      </c>
      <c r="I51" s="78">
        <v>0</v>
      </c>
      <c r="J51" s="78">
        <v>0</v>
      </c>
      <c r="K51" s="79">
        <v>0</v>
      </c>
      <c r="R51" s="86" t="s">
        <v>527</v>
      </c>
      <c r="S51" s="77" t="s">
        <v>548</v>
      </c>
      <c r="T51" s="78">
        <v>1</v>
      </c>
      <c r="U51" s="78" t="s">
        <v>21</v>
      </c>
      <c r="V51" s="78">
        <v>50.16</v>
      </c>
      <c r="W51" s="78">
        <v>17</v>
      </c>
      <c r="X51" s="78">
        <v>115</v>
      </c>
      <c r="Y51" s="79">
        <v>0.14779999999999999</v>
      </c>
      <c r="Z51" s="78">
        <v>2.95</v>
      </c>
      <c r="AA51" s="78">
        <v>50.16</v>
      </c>
      <c r="AB51" s="79">
        <v>5.8799999999999998E-2</v>
      </c>
    </row>
    <row r="52" spans="1:28" ht="29.5" customHeight="1">
      <c r="A52" s="76" t="s">
        <v>24</v>
      </c>
      <c r="B52" s="77" t="s">
        <v>517</v>
      </c>
      <c r="C52" s="78">
        <v>0</v>
      </c>
      <c r="D52" s="78" t="s">
        <v>21</v>
      </c>
      <c r="E52" s="78">
        <v>0</v>
      </c>
      <c r="F52" s="78">
        <v>0</v>
      </c>
      <c r="G52" s="80">
        <v>0</v>
      </c>
      <c r="H52" s="79" t="s">
        <v>520</v>
      </c>
      <c r="I52" s="78">
        <v>0</v>
      </c>
      <c r="J52" s="78">
        <v>0</v>
      </c>
      <c r="K52" s="79">
        <v>0</v>
      </c>
      <c r="R52" s="86" t="s">
        <v>527</v>
      </c>
      <c r="S52" s="77" t="s">
        <v>549</v>
      </c>
      <c r="T52" s="78">
        <v>1</v>
      </c>
      <c r="U52" s="78" t="s">
        <v>21</v>
      </c>
      <c r="V52" s="78">
        <v>30.41</v>
      </c>
      <c r="W52" s="78">
        <v>9</v>
      </c>
      <c r="X52" s="78">
        <v>183</v>
      </c>
      <c r="Y52" s="79">
        <v>4.9200000000000001E-2</v>
      </c>
      <c r="Z52" s="78">
        <v>3.38</v>
      </c>
      <c r="AA52" s="78">
        <v>30.41</v>
      </c>
      <c r="AB52" s="79">
        <v>0.1111</v>
      </c>
    </row>
    <row r="53" spans="1:28" ht="29.5" customHeight="1">
      <c r="A53" s="76" t="s">
        <v>24</v>
      </c>
      <c r="B53" s="77" t="s">
        <v>516</v>
      </c>
      <c r="C53" s="78">
        <v>8</v>
      </c>
      <c r="D53" s="78" t="s">
        <v>21</v>
      </c>
      <c r="E53" s="78">
        <v>33.4</v>
      </c>
      <c r="F53" s="78">
        <v>129</v>
      </c>
      <c r="G53" s="80">
        <v>9549</v>
      </c>
      <c r="H53" s="79">
        <v>1.35E-2</v>
      </c>
      <c r="I53" s="78">
        <v>2.0699999999999998</v>
      </c>
      <c r="J53" s="78">
        <v>267.20999999999998</v>
      </c>
      <c r="K53" s="79">
        <v>6.2E-2</v>
      </c>
      <c r="R53" s="87" t="s">
        <v>19</v>
      </c>
      <c r="S53" s="77" t="s">
        <v>549</v>
      </c>
      <c r="T53" s="78">
        <v>8</v>
      </c>
      <c r="U53" s="78" t="s">
        <v>21</v>
      </c>
      <c r="V53" s="78">
        <v>23.79</v>
      </c>
      <c r="W53" s="78">
        <v>44</v>
      </c>
      <c r="X53" s="78">
        <v>920</v>
      </c>
      <c r="Y53" s="79">
        <v>4.7800000000000002E-2</v>
      </c>
      <c r="Z53" s="78">
        <v>4.33</v>
      </c>
      <c r="AA53" s="78">
        <v>190.34</v>
      </c>
      <c r="AB53" s="79">
        <v>0.18179999999999999</v>
      </c>
    </row>
    <row r="54" spans="1:28" ht="29.5" customHeight="1">
      <c r="A54" s="76" t="s">
        <v>24</v>
      </c>
      <c r="B54" s="77" t="s">
        <v>518</v>
      </c>
      <c r="C54" s="78">
        <v>9</v>
      </c>
      <c r="D54" s="78" t="s">
        <v>21</v>
      </c>
      <c r="E54" s="78">
        <v>35.08</v>
      </c>
      <c r="F54" s="78">
        <v>106</v>
      </c>
      <c r="G54" s="80">
        <v>2689</v>
      </c>
      <c r="H54" s="79">
        <v>3.9399999999999998E-2</v>
      </c>
      <c r="I54" s="78">
        <v>2.98</v>
      </c>
      <c r="J54" s="78">
        <v>315.75</v>
      </c>
      <c r="K54" s="79">
        <v>8.4900000000000003E-2</v>
      </c>
      <c r="R54" s="87" t="s">
        <v>19</v>
      </c>
      <c r="S54" s="77" t="s">
        <v>547</v>
      </c>
      <c r="T54" s="78">
        <v>16</v>
      </c>
      <c r="U54" s="78" t="s">
        <v>21</v>
      </c>
      <c r="V54" s="78">
        <v>36.01</v>
      </c>
      <c r="W54" s="78">
        <v>138</v>
      </c>
      <c r="X54" s="80">
        <v>2756</v>
      </c>
      <c r="Y54" s="79">
        <v>5.0099999999999999E-2</v>
      </c>
      <c r="Z54" s="78">
        <v>4.17</v>
      </c>
      <c r="AA54" s="78">
        <v>576.14</v>
      </c>
      <c r="AB54" s="79">
        <v>0.1159</v>
      </c>
    </row>
    <row r="55" spans="1:28" ht="29.5" customHeight="1">
      <c r="A55" s="76" t="s">
        <v>24</v>
      </c>
      <c r="B55" s="77" t="s">
        <v>519</v>
      </c>
      <c r="C55" s="78">
        <v>7</v>
      </c>
      <c r="D55" s="78" t="s">
        <v>21</v>
      </c>
      <c r="E55" s="78">
        <v>22.53</v>
      </c>
      <c r="F55" s="78">
        <v>54</v>
      </c>
      <c r="G55" s="80">
        <v>1894</v>
      </c>
      <c r="H55" s="79">
        <v>2.8500000000000001E-2</v>
      </c>
      <c r="I55" s="78">
        <v>2.92</v>
      </c>
      <c r="J55" s="78">
        <v>157.72</v>
      </c>
      <c r="K55" s="79">
        <v>0.12959999999999999</v>
      </c>
      <c r="R55" s="87" t="s">
        <v>19</v>
      </c>
      <c r="S55" s="77" t="s">
        <v>548</v>
      </c>
      <c r="T55" s="78">
        <v>3</v>
      </c>
      <c r="U55" s="78" t="s">
        <v>21</v>
      </c>
      <c r="V55" s="78">
        <v>49.51</v>
      </c>
      <c r="W55" s="78">
        <v>33</v>
      </c>
      <c r="X55" s="78">
        <v>634</v>
      </c>
      <c r="Y55" s="79">
        <v>5.21E-2</v>
      </c>
      <c r="Z55" s="78">
        <v>4.5</v>
      </c>
      <c r="AA55" s="78">
        <v>148.53</v>
      </c>
      <c r="AB55" s="79">
        <v>9.0899999999999995E-2</v>
      </c>
    </row>
    <row r="56" spans="1:28" ht="29.5" customHeight="1">
      <c r="R56" s="87" t="s">
        <v>19</v>
      </c>
      <c r="S56" s="77" t="s">
        <v>516</v>
      </c>
      <c r="T56" s="78">
        <v>1</v>
      </c>
      <c r="U56" s="78" t="s">
        <v>21</v>
      </c>
      <c r="V56" s="78">
        <v>349.23</v>
      </c>
      <c r="W56" s="78">
        <v>89</v>
      </c>
      <c r="X56" s="80">
        <v>2893</v>
      </c>
      <c r="Y56" s="79">
        <v>3.0800000000000001E-2</v>
      </c>
      <c r="Z56" s="78">
        <v>3.92</v>
      </c>
      <c r="AA56" s="78">
        <v>349.23</v>
      </c>
      <c r="AB56" s="79">
        <v>1.12E-2</v>
      </c>
    </row>
    <row r="57" spans="1:28" ht="29.5" customHeight="1">
      <c r="R57" s="87" t="s">
        <v>19</v>
      </c>
      <c r="S57" s="77" t="s">
        <v>546</v>
      </c>
      <c r="T57" s="78">
        <v>0</v>
      </c>
      <c r="U57" s="78" t="s">
        <v>21</v>
      </c>
      <c r="V57" s="78">
        <v>0</v>
      </c>
      <c r="W57" s="78">
        <v>12</v>
      </c>
      <c r="X57" s="78">
        <v>264</v>
      </c>
      <c r="Y57" s="79">
        <v>4.5499999999999999E-2</v>
      </c>
      <c r="Z57" s="78">
        <v>4.01</v>
      </c>
      <c r="AA57" s="78">
        <v>48.1</v>
      </c>
      <c r="AB57" s="79">
        <v>0</v>
      </c>
    </row>
    <row r="58" spans="1:28" ht="29.5" customHeight="1">
      <c r="R58" s="87" t="s">
        <v>19</v>
      </c>
      <c r="S58" s="77" t="s">
        <v>544</v>
      </c>
      <c r="T58" s="78">
        <v>0</v>
      </c>
      <c r="U58" s="78" t="s">
        <v>21</v>
      </c>
      <c r="V58" s="78">
        <v>0</v>
      </c>
      <c r="W58" s="78">
        <v>31</v>
      </c>
      <c r="X58" s="78">
        <v>792</v>
      </c>
      <c r="Y58" s="79">
        <v>3.9100000000000003E-2</v>
      </c>
      <c r="Z58" s="78">
        <v>4.93</v>
      </c>
      <c r="AA58" s="78">
        <v>152.72</v>
      </c>
      <c r="AB58" s="79">
        <v>0</v>
      </c>
    </row>
    <row r="59" spans="1:28" ht="29.5" customHeight="1">
      <c r="R59" s="87" t="s">
        <v>19</v>
      </c>
      <c r="S59" s="77" t="s">
        <v>545</v>
      </c>
      <c r="T59" s="78">
        <v>3</v>
      </c>
      <c r="U59" s="78" t="s">
        <v>21</v>
      </c>
      <c r="V59" s="78">
        <v>74.55</v>
      </c>
      <c r="W59" s="78">
        <v>44</v>
      </c>
      <c r="X59" s="78">
        <v>930</v>
      </c>
      <c r="Y59" s="79">
        <v>4.7300000000000002E-2</v>
      </c>
      <c r="Z59" s="78">
        <v>5.08</v>
      </c>
      <c r="AA59" s="78">
        <v>223.65</v>
      </c>
      <c r="AB59" s="79">
        <v>6.8199999999999997E-2</v>
      </c>
    </row>
    <row r="60" spans="1:28" ht="29.5" customHeight="1">
      <c r="R60" s="83" t="s">
        <v>24</v>
      </c>
      <c r="S60" s="77" t="s">
        <v>549</v>
      </c>
      <c r="T60" s="78">
        <v>1</v>
      </c>
      <c r="U60" s="78" t="s">
        <v>21</v>
      </c>
      <c r="V60" s="78">
        <v>102</v>
      </c>
      <c r="W60" s="78">
        <v>40</v>
      </c>
      <c r="X60" s="80">
        <v>1336</v>
      </c>
      <c r="Y60" s="79">
        <v>2.9899999999999999E-2</v>
      </c>
      <c r="Z60" s="78">
        <v>2.5499999999999998</v>
      </c>
      <c r="AA60" s="78">
        <v>102</v>
      </c>
      <c r="AB60" s="79">
        <v>2.5000000000000001E-2</v>
      </c>
    </row>
    <row r="61" spans="1:28" ht="29.5" customHeight="1">
      <c r="R61" s="83" t="s">
        <v>24</v>
      </c>
      <c r="S61" s="77" t="s">
        <v>547</v>
      </c>
      <c r="T61" s="78">
        <v>12</v>
      </c>
      <c r="U61" s="78" t="s">
        <v>21</v>
      </c>
      <c r="V61" s="78">
        <v>26.24</v>
      </c>
      <c r="W61" s="78">
        <v>108</v>
      </c>
      <c r="X61" s="80">
        <v>3097</v>
      </c>
      <c r="Y61" s="79">
        <v>3.49E-2</v>
      </c>
      <c r="Z61" s="78">
        <v>2.92</v>
      </c>
      <c r="AA61" s="78">
        <v>314.83999999999997</v>
      </c>
      <c r="AB61" s="79">
        <v>0.1111</v>
      </c>
    </row>
    <row r="62" spans="1:28" ht="29.5" customHeight="1">
      <c r="R62" s="83" t="s">
        <v>24</v>
      </c>
      <c r="S62" s="77" t="s">
        <v>544</v>
      </c>
      <c r="T62" s="78">
        <v>1</v>
      </c>
      <c r="U62" s="78" t="s">
        <v>21</v>
      </c>
      <c r="V62" s="78">
        <v>89.2</v>
      </c>
      <c r="W62" s="78">
        <v>27</v>
      </c>
      <c r="X62" s="80">
        <v>1245</v>
      </c>
      <c r="Y62" s="79">
        <v>2.1700000000000001E-2</v>
      </c>
      <c r="Z62" s="78">
        <v>3.3</v>
      </c>
      <c r="AA62" s="78">
        <v>89.2</v>
      </c>
      <c r="AB62" s="79">
        <v>3.6999999999999998E-2</v>
      </c>
    </row>
    <row r="63" spans="1:28" ht="29.5" customHeight="1">
      <c r="R63" s="83" t="s">
        <v>24</v>
      </c>
      <c r="S63" s="77" t="s">
        <v>545</v>
      </c>
      <c r="T63" s="78">
        <v>2</v>
      </c>
      <c r="U63" s="78" t="s">
        <v>21</v>
      </c>
      <c r="V63" s="78">
        <v>55.89</v>
      </c>
      <c r="W63" s="78">
        <v>38</v>
      </c>
      <c r="X63" s="80">
        <v>1496</v>
      </c>
      <c r="Y63" s="79">
        <v>2.5399999999999999E-2</v>
      </c>
      <c r="Z63" s="78">
        <v>2.94</v>
      </c>
      <c r="AA63" s="78">
        <v>111.77</v>
      </c>
      <c r="AB63" s="79">
        <v>5.2600000000000001E-2</v>
      </c>
    </row>
    <row r="64" spans="1:28" ht="29.5" customHeight="1">
      <c r="R64" s="83" t="s">
        <v>24</v>
      </c>
      <c r="S64" s="77" t="s">
        <v>546</v>
      </c>
      <c r="T64" s="78">
        <v>9</v>
      </c>
      <c r="U64" s="78" t="s">
        <v>21</v>
      </c>
      <c r="V64" s="78">
        <v>24.84</v>
      </c>
      <c r="W64" s="78">
        <v>88</v>
      </c>
      <c r="X64" s="80">
        <v>1987</v>
      </c>
      <c r="Y64" s="79">
        <v>4.4299999999999999E-2</v>
      </c>
      <c r="Z64" s="78">
        <v>2.54</v>
      </c>
      <c r="AA64" s="78">
        <v>223.6</v>
      </c>
      <c r="AB64" s="79">
        <v>0.1023</v>
      </c>
    </row>
    <row r="65" spans="18:28" ht="29.5" customHeight="1">
      <c r="R65" s="83" t="s">
        <v>24</v>
      </c>
      <c r="S65" s="77" t="s">
        <v>548</v>
      </c>
      <c r="T65" s="78">
        <v>2</v>
      </c>
      <c r="U65" s="78" t="s">
        <v>21</v>
      </c>
      <c r="V65" s="78">
        <v>35.25</v>
      </c>
      <c r="W65" s="78">
        <v>23</v>
      </c>
      <c r="X65" s="78">
        <v>886</v>
      </c>
      <c r="Y65" s="79">
        <v>2.5999999999999999E-2</v>
      </c>
      <c r="Z65" s="78">
        <v>3.07</v>
      </c>
      <c r="AA65" s="78">
        <v>70.5</v>
      </c>
      <c r="AB65" s="79">
        <v>8.6999999999999994E-2</v>
      </c>
    </row>
    <row r="66" spans="18:28" ht="29.5" customHeight="1">
      <c r="R66" s="83" t="s">
        <v>24</v>
      </c>
      <c r="S66" s="77" t="s">
        <v>516</v>
      </c>
      <c r="T66" s="78">
        <v>9</v>
      </c>
      <c r="U66" s="78" t="s">
        <v>21</v>
      </c>
      <c r="V66" s="78">
        <v>33.32</v>
      </c>
      <c r="W66" s="78">
        <v>146</v>
      </c>
      <c r="X66" s="80">
        <v>10129</v>
      </c>
      <c r="Y66" s="79">
        <v>1.44E-2</v>
      </c>
      <c r="Z66" s="78">
        <v>2.0499999999999998</v>
      </c>
      <c r="AA66" s="78">
        <v>299.91000000000003</v>
      </c>
      <c r="AB66" s="79">
        <v>6.1600000000000002E-2</v>
      </c>
    </row>
  </sheetData>
  <phoneticPr fontId="18" type="noConversion"/>
  <pageMargins left="0.7" right="0.7" top="0.75" bottom="0.75" header="0.3" footer="0.3"/>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Campaign Level</vt:lpstr>
      <vt:lpstr>Ad Group Level</vt:lpstr>
      <vt:lpstr>Keyword Level</vt:lpstr>
      <vt:lpstr>Sheet7</vt:lpstr>
      <vt:lpstr>Demographic</vt:lpstr>
      <vt:lpstr>Sheet1</vt:lpstr>
      <vt:lpstr>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Diqi Que</cp:lastModifiedBy>
  <dcterms:created xsi:type="dcterms:W3CDTF">2026-01-05T06:53:58Z</dcterms:created>
  <dcterms:modified xsi:type="dcterms:W3CDTF">2026-01-20T07:22:46Z</dcterms:modified>
</cp:coreProperties>
</file>